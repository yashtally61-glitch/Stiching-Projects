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shgallery-my.sharepoint.com/personal/ashu_yashgallery_com/Documents/Desktop/Costing/Karigar Style Working/"/>
    </mc:Choice>
  </mc:AlternateContent>
  <xr:revisionPtr revIDLastSave="115" documentId="13_ncr:1_{8AE7D328-68E6-4606-9647-AFEF5E9642C8}" xr6:coauthVersionLast="47" xr6:coauthVersionMax="47" xr10:uidLastSave="{21A81248-3B59-4680-A39C-1C03AD7B74CF}"/>
  <bookViews>
    <workbookView xWindow="-120" yWindow="-120" windowWidth="29040" windowHeight="15720" activeTab="1" xr2:uid="{152F3B24-A20B-4326-B93E-F585D8D030BA}"/>
  </bookViews>
  <sheets>
    <sheet name="Sep. 25 Daily Stitching Report" sheetId="4" r:id="rId1"/>
    <sheet name="Oct 25 Daily Stitching Report" sheetId="7" r:id="rId2"/>
    <sheet name="Sheet1" sheetId="5" r:id="rId3"/>
  </sheets>
  <definedNames>
    <definedName name="_xlnm._FilterDatabase" localSheetId="1" hidden="1">'Oct 25 Daily Stitching Report'!$A$20:$L$34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7" l="1"/>
  <c r="B183" i="7" s="1"/>
  <c r="K162" i="7"/>
  <c r="K163" i="7"/>
  <c r="H160" i="7"/>
  <c r="H161" i="7" s="1"/>
  <c r="E160" i="7"/>
  <c r="E161" i="7" s="1"/>
  <c r="B160" i="7"/>
  <c r="B161" i="7" s="1"/>
  <c r="K142" i="7"/>
  <c r="K143" i="7" s="1"/>
  <c r="H142" i="7" l="1"/>
  <c r="H143" i="7" s="1"/>
  <c r="E142" i="7"/>
  <c r="E143" i="7" s="1"/>
  <c r="B142" i="7"/>
  <c r="B143" i="7" s="1"/>
  <c r="E123" i="7" l="1"/>
  <c r="E124" i="7" s="1"/>
  <c r="B123" i="7"/>
  <c r="L102" i="7"/>
  <c r="K110" i="7"/>
  <c r="K111" i="7" s="1"/>
  <c r="H102" i="7"/>
  <c r="H103" i="7" s="1"/>
  <c r="B105" i="7"/>
  <c r="B106" i="7" s="1"/>
  <c r="K93" i="7"/>
  <c r="K94" i="7" s="1"/>
  <c r="H87" i="7"/>
  <c r="H88" i="7" s="1"/>
  <c r="E86" i="7"/>
  <c r="E87" i="7" s="1"/>
  <c r="E103" i="7" s="1"/>
  <c r="E104" i="7" s="1"/>
  <c r="B91" i="7"/>
  <c r="B92" i="7" s="1"/>
  <c r="K78" i="7"/>
  <c r="K79" i="7" s="1"/>
  <c r="H76" i="7"/>
  <c r="H77" i="7" s="1"/>
  <c r="E74" i="7"/>
  <c r="E75" i="7" s="1"/>
  <c r="B70" i="7"/>
  <c r="B71" i="7" s="1"/>
  <c r="K57" i="7"/>
  <c r="K58" i="7" s="1"/>
  <c r="H54" i="7"/>
  <c r="H55" i="7" s="1"/>
  <c r="E53" i="7"/>
  <c r="E54" i="7" s="1"/>
  <c r="B53" i="7"/>
  <c r="B54" i="7" s="1"/>
  <c r="K38" i="7"/>
  <c r="K39" i="7" s="1"/>
  <c r="H35" i="7"/>
  <c r="H36" i="7" s="1"/>
  <c r="E35" i="7"/>
  <c r="E36" i="7" s="1"/>
  <c r="B33" i="7"/>
  <c r="B34" i="7" s="1"/>
  <c r="K18" i="7"/>
  <c r="K19" i="7" s="1"/>
  <c r="H15" i="7"/>
  <c r="H16" i="7" s="1"/>
  <c r="E15" i="7"/>
  <c r="E16" i="7" s="1"/>
  <c r="B16" i="7"/>
  <c r="B124" i="7" l="1"/>
  <c r="B17" i="7"/>
  <c r="T15" i="4"/>
  <c r="T16" i="4" s="1"/>
  <c r="Q97" i="4"/>
  <c r="Q98" i="4" s="1"/>
  <c r="Q80" i="4"/>
  <c r="Q81" i="4" s="1"/>
  <c r="Q60" i="4"/>
  <c r="Q61" i="4" s="1"/>
  <c r="Q64" i="4" s="1"/>
  <c r="Q39" i="4"/>
  <c r="Q40" i="4"/>
  <c r="Q43" i="4" s="1"/>
  <c r="Q16" i="4"/>
  <c r="Q17" i="4" s="1"/>
  <c r="Q20" i="4" s="1"/>
  <c r="N100" i="4" l="1"/>
  <c r="N101" i="4" s="1"/>
  <c r="N104" i="4" s="1"/>
  <c r="N77" i="4" l="1"/>
  <c r="N78" i="4" s="1"/>
  <c r="N81" i="4" s="1"/>
  <c r="N54" i="4"/>
  <c r="N55" i="4" s="1"/>
  <c r="N58" i="4" s="1"/>
  <c r="N33" i="4"/>
  <c r="N34" i="4" s="1"/>
  <c r="N37" i="4" s="1"/>
  <c r="N14" i="4"/>
  <c r="N15" i="4" s="1"/>
  <c r="N18" i="4" s="1"/>
  <c r="K89" i="4"/>
  <c r="K90" i="4" s="1"/>
  <c r="K93" i="4" s="1"/>
  <c r="K65" i="4"/>
  <c r="K66" i="4" s="1"/>
  <c r="K69" i="4" s="1"/>
  <c r="K43" i="4"/>
  <c r="K44" i="4" s="1"/>
  <c r="K47" i="4" s="1"/>
  <c r="K19" i="4"/>
  <c r="K20" i="4" s="1"/>
  <c r="K23" i="4" s="1"/>
  <c r="B70" i="4" l="1"/>
  <c r="B71" i="4" s="1"/>
  <c r="B74" i="4" s="1"/>
  <c r="H84" i="4"/>
  <c r="H85" i="4" s="1"/>
  <c r="H89" i="4" s="1"/>
  <c r="H19" i="4"/>
  <c r="H20" i="4" s="1"/>
  <c r="H23" i="4" s="1"/>
  <c r="H64" i="4"/>
  <c r="H65" i="4" s="1"/>
  <c r="H68" i="4" s="1"/>
  <c r="H43" i="4"/>
  <c r="H44" i="4" s="1"/>
  <c r="H47" i="4" s="1"/>
  <c r="E80" i="4"/>
  <c r="E81" i="4" s="1"/>
  <c r="E84" i="4" s="1"/>
  <c r="E57" i="4"/>
  <c r="E59" i="4" s="1"/>
  <c r="E63" i="4" s="1"/>
  <c r="E39" i="4"/>
  <c r="E41" i="4" s="1"/>
  <c r="E17" i="4"/>
  <c r="E19" i="4" s="1"/>
  <c r="B48" i="4"/>
  <c r="B50" i="4" s="1"/>
  <c r="B29" i="4"/>
  <c r="B31" i="4" s="1"/>
  <c r="B14" i="4"/>
  <c r="B16" i="4" s="1"/>
  <c r="B93" i="4"/>
  <c r="B9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tc={5068054A-831C-4CE6-B977-6FBEB4FAC9B2}</author>
  </authors>
  <commentList>
    <comment ref="E38" authorId="0" shapeId="0" xr:uid="{5068054A-831C-4CE6-B977-6FBEB4FAC9B2}">
      <text>
        <t>[Threaded comment]
Your version of Excel allows you to read this threaded comment; however, any edits to it will get removed if the file is opened in a newer version of Excel. Learn more: https://go.microsoft.com/fwlink/?linkid=870924
Comment:
     1. Khiru
179YK295MULTI
1516YKRED
1251YKMAROON
 2. Sirajuddin
7036YKBLS Kansai
7042YKBLS Kansai
 3.Soniya Sani
401 Dupatta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tc={0A02357C-2E9D-460A-87B5-1FBBE1A27692}</author>
    <author>tc={199C8780-3F59-46F9-94E5-DBBF2113C778}</author>
    <author>tc={E97469AD-DE1F-4692-BADE-4C72C31B3F5E}</author>
    <author>tc={98948D6E-6357-46B8-9971-D0725B236198}</author>
    <author>tc={80F4CD7D-D4EB-46CA-9DE7-16FF266DCDF8}</author>
  </authors>
  <commentList>
    <comment ref="B121" authorId="0" shapeId="0" xr:uid="{0A02357C-2E9D-460A-87B5-1FBBE1A276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Embroidery
</t>
      </text>
    </comment>
    <comment ref="E121" authorId="1" shapeId="0" xr:uid="{199C8780-3F59-46F9-94E5-DBBF2113C7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Embroidery
</t>
      </text>
    </comment>
    <comment ref="B140" authorId="2" shapeId="0" xr:uid="{E97469AD-DE1F-4692-BADE-4C72C31B3F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Embroidery
</t>
      </text>
    </comment>
    <comment ref="E140" authorId="3" shapeId="0" xr:uid="{98948D6E-6357-46B8-9971-D0725B2361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Embroidery
</t>
      </text>
    </comment>
    <comment ref="H140" authorId="4" shapeId="0" xr:uid="{80F4CD7D-D4EB-46CA-9DE7-16FF266DCD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Embroidery
</t>
      </text>
    </comment>
  </commentList>
</comments>
</file>

<file path=xl/sharedStrings.xml><?xml version="1.0" encoding="utf-8"?>
<sst xmlns="http://schemas.openxmlformats.org/spreadsheetml/2006/main" count="1324" uniqueCount="182">
  <si>
    <t>1751YKMUSTARD_Pant</t>
  </si>
  <si>
    <t>1260YKTEAL-596</t>
  </si>
  <si>
    <t xml:space="preserve">1915,16,18YKBLACK-488, </t>
  </si>
  <si>
    <t>1472YKGREEN (Pant) - 920</t>
  </si>
  <si>
    <t>1488YKWHITE- 1608</t>
  </si>
  <si>
    <t>224YK148BNDJ-1745</t>
  </si>
  <si>
    <t>1691YKBLUE- 555_PANT</t>
  </si>
  <si>
    <t>6007SKD(PANT) 308+380</t>
  </si>
  <si>
    <t>1598YKBLUE- 530</t>
  </si>
  <si>
    <t xml:space="preserve">Other Working </t>
  </si>
  <si>
    <t>Safauddin S/O Karim</t>
  </si>
  <si>
    <t>Tasauvar Ali S/o Idrish</t>
  </si>
  <si>
    <t>1912YKSKYBLUE - 775</t>
  </si>
  <si>
    <t>1127YKMAROON - 279+1020</t>
  </si>
  <si>
    <t>1488YKWHITE - 822</t>
  </si>
  <si>
    <t>1576YKGREEN - 838</t>
  </si>
  <si>
    <t>1472YKGREEN - 1106</t>
  </si>
  <si>
    <t>SKU</t>
  </si>
  <si>
    <t>Exp.</t>
  </si>
  <si>
    <t>Total Exp.</t>
  </si>
  <si>
    <t>04.09.2025</t>
  </si>
  <si>
    <t>Total Salary</t>
  </si>
  <si>
    <t>Diff.</t>
  </si>
  <si>
    <t>Sampling</t>
  </si>
  <si>
    <t>Helper</t>
  </si>
  <si>
    <t>Stitching Daily Exp.</t>
  </si>
  <si>
    <t>7042 Kansai BLS</t>
  </si>
  <si>
    <t>1936YKWHITE- 638</t>
  </si>
  <si>
    <t>1887YKBLACK - 760</t>
  </si>
  <si>
    <t>1535 Bls Kasai</t>
  </si>
  <si>
    <t>1536 BLS Kansai</t>
  </si>
  <si>
    <t>1535 Bls Kansai</t>
  </si>
  <si>
    <t>01.09.2025</t>
  </si>
  <si>
    <t>30.08.2025</t>
  </si>
  <si>
    <t>02.09.2025</t>
  </si>
  <si>
    <t>6015SKDBLACK- 160+471+471</t>
  </si>
  <si>
    <t>7082YKMULTI (BLS Kansai)</t>
  </si>
  <si>
    <t>146YK148AZKBLU- 350</t>
  </si>
  <si>
    <t>T</t>
  </si>
  <si>
    <t>05.09.2025</t>
  </si>
  <si>
    <t>314YK411RED - 2207</t>
  </si>
  <si>
    <t>1373YKPINK - 1658</t>
  </si>
  <si>
    <t>06.09.2025</t>
  </si>
  <si>
    <t>Khiru Ram S/o Ramnand</t>
  </si>
  <si>
    <t>Net Difference +/-</t>
  </si>
  <si>
    <t>Finishing</t>
  </si>
  <si>
    <t>204 &amp; Kansai Bls</t>
  </si>
  <si>
    <t>08.09.2025</t>
  </si>
  <si>
    <t>165YK251MUSTRAD- 308</t>
  </si>
  <si>
    <t>6007SKDSKYBLUE- 308</t>
  </si>
  <si>
    <t>Kansai BLS</t>
  </si>
  <si>
    <t>09.09.2025</t>
  </si>
  <si>
    <t>190YK214MAROON- 694</t>
  </si>
  <si>
    <t>1602YKLAVENDER</t>
  </si>
  <si>
    <t>1266YKBLUE</t>
  </si>
  <si>
    <t>1572YKBLUE - 512</t>
  </si>
  <si>
    <t>10.09.2025</t>
  </si>
  <si>
    <t>6007SKD(PANT) 308+308</t>
  </si>
  <si>
    <t>165YK251MUSTRAD- 308+680</t>
  </si>
  <si>
    <t>6008SKDORANGE</t>
  </si>
  <si>
    <t>1577YKPINK-833</t>
  </si>
  <si>
    <t>11.09.2025</t>
  </si>
  <si>
    <t>1473YKWHITE - 340</t>
  </si>
  <si>
    <t>1251YKMAROON</t>
  </si>
  <si>
    <t>12.09.2025</t>
  </si>
  <si>
    <t>Rajan Kushwaha S/o Bandhu</t>
  </si>
  <si>
    <t>1602YKLAVENDER- 1490</t>
  </si>
  <si>
    <t>1266YKBLUE- 600</t>
  </si>
  <si>
    <t>6008SKDORANGE- 320</t>
  </si>
  <si>
    <t>5007YKBLACK- 968</t>
  </si>
  <si>
    <t>13.09.2025</t>
  </si>
  <si>
    <t>03.09.2025</t>
  </si>
  <si>
    <t>1817YKPURPLE- 380</t>
  </si>
  <si>
    <t>314KD411RED- 350</t>
  </si>
  <si>
    <t>1270YKBLUE- 622</t>
  </si>
  <si>
    <t>1507YKPINK</t>
  </si>
  <si>
    <t>15.09.2025</t>
  </si>
  <si>
    <t>16.09.2025</t>
  </si>
  <si>
    <t>17.09.2025</t>
  </si>
  <si>
    <t>1588YKBLUE-504</t>
  </si>
  <si>
    <t>1507YKPINK- 470</t>
  </si>
  <si>
    <t>8019MWBLACK- 355</t>
  </si>
  <si>
    <t>1127YKMAROON</t>
  </si>
  <si>
    <t>295YK148CHECKS- 456</t>
  </si>
  <si>
    <t>1777YKOFFWHITE- 626</t>
  </si>
  <si>
    <t>18.09.2025</t>
  </si>
  <si>
    <t>1219YKBLACK</t>
  </si>
  <si>
    <t>19.09.2025</t>
  </si>
  <si>
    <t>20.09.2025</t>
  </si>
  <si>
    <t>21.09.2025</t>
  </si>
  <si>
    <t>1112YKBLACK</t>
  </si>
  <si>
    <t>1941YKMUSTARD- 686</t>
  </si>
  <si>
    <t>192YK251GREEN- 200</t>
  </si>
  <si>
    <t>1477YKBLUE Dupatta</t>
  </si>
  <si>
    <t>22.09.2025</t>
  </si>
  <si>
    <t>1809YKDYELLOW_Pant</t>
  </si>
  <si>
    <t>6015SKDBLACK- 160+471+471+160</t>
  </si>
  <si>
    <t>165YK251MUSTRAD- 308+803+482+1430</t>
  </si>
  <si>
    <t>1127YKMAROON-782</t>
  </si>
  <si>
    <t>1758YKPINK- 629</t>
  </si>
  <si>
    <t>23.09.2025</t>
  </si>
  <si>
    <t>24.09.2025</t>
  </si>
  <si>
    <t>Patch Joint</t>
  </si>
  <si>
    <t>25.09.2025</t>
  </si>
  <si>
    <t>26.09.2025</t>
  </si>
  <si>
    <t>27.09.2025</t>
  </si>
  <si>
    <t>29.09.2025</t>
  </si>
  <si>
    <t>30.09.2025</t>
  </si>
  <si>
    <t>166YK251BLUE- 419</t>
  </si>
  <si>
    <t>1585YKPINK- 376</t>
  </si>
  <si>
    <t>1112YKBLACK- 580</t>
  </si>
  <si>
    <t>167YK251BLACK-384</t>
  </si>
  <si>
    <t>1491YKMAROON-548</t>
  </si>
  <si>
    <t>DPT21MULTI-788</t>
  </si>
  <si>
    <t>01.10.2025</t>
  </si>
  <si>
    <t>02.10.2025</t>
  </si>
  <si>
    <t>03.10.2025</t>
  </si>
  <si>
    <t>04.10.2025</t>
  </si>
  <si>
    <t>05.10.2025</t>
  </si>
  <si>
    <t>Stitching Daily Exp. (Sunday)</t>
  </si>
  <si>
    <t>06.10.2025</t>
  </si>
  <si>
    <t>07.10.2025</t>
  </si>
  <si>
    <t>1915,16,17,18YKBLACK-1948</t>
  </si>
  <si>
    <t>5023YKBLUE-251</t>
  </si>
  <si>
    <t>1887YKBLACK-372</t>
  </si>
  <si>
    <t>1894YKDGREEN_Duppata</t>
  </si>
  <si>
    <t>1637DPT24-195</t>
  </si>
  <si>
    <t>5014YKMAROON- 174+215</t>
  </si>
  <si>
    <t>08.10.2025</t>
  </si>
  <si>
    <t>09.10.2025</t>
  </si>
  <si>
    <t>10.10.2025</t>
  </si>
  <si>
    <t>11.10.2025</t>
  </si>
  <si>
    <t>13.10.2025</t>
  </si>
  <si>
    <t>1375YKMUSTARD- 278</t>
  </si>
  <si>
    <t>14.10.2025</t>
  </si>
  <si>
    <t>1220YKWHITE_Pant</t>
  </si>
  <si>
    <t>5037YKPINK-364</t>
  </si>
  <si>
    <t>1782YKMUSTARD-550</t>
  </si>
  <si>
    <t>15.10.2025</t>
  </si>
  <si>
    <t>1739YKDMULTI-550</t>
  </si>
  <si>
    <t>Patch Joint &amp; Sampling</t>
  </si>
  <si>
    <t>16.10.2025</t>
  </si>
  <si>
    <t>1777YKOFFWHITE-840</t>
  </si>
  <si>
    <t>17.10.2025</t>
  </si>
  <si>
    <t>Patch Joint &amp; 1306 Dupatta</t>
  </si>
  <si>
    <t>18.10.2025</t>
  </si>
  <si>
    <t>22.10.2025</t>
  </si>
  <si>
    <t>23.10.2025</t>
  </si>
  <si>
    <t>190YK214MAROON- 694+1020</t>
  </si>
  <si>
    <t>24.10.2025</t>
  </si>
  <si>
    <t>25.10.2025</t>
  </si>
  <si>
    <t>1127YKMAROON -782</t>
  </si>
  <si>
    <t>27.10.2025</t>
  </si>
  <si>
    <t>28.10.2025</t>
  </si>
  <si>
    <t>29.10.2025</t>
  </si>
  <si>
    <t>30.10.2025</t>
  </si>
  <si>
    <t>1954YKBLUE - 260</t>
  </si>
  <si>
    <t>1127YKMAROON - 530</t>
  </si>
  <si>
    <t>1887YKBLACK-1887 - 466+530</t>
  </si>
  <si>
    <t>Sum</t>
  </si>
  <si>
    <t>Average</t>
  </si>
  <si>
    <t>Running Total</t>
  </si>
  <si>
    <t>Count</t>
  </si>
  <si>
    <t>31.10.2025</t>
  </si>
  <si>
    <t>1777YKOFFWHITE-912</t>
  </si>
  <si>
    <t>01.11.2025</t>
  </si>
  <si>
    <t>02.11.2025</t>
  </si>
  <si>
    <t>1888YKPURPLE</t>
  </si>
  <si>
    <t>03.11.2025</t>
  </si>
  <si>
    <t>04.11.2025</t>
  </si>
  <si>
    <t>05.11.2025</t>
  </si>
  <si>
    <t>06.11.2025</t>
  </si>
  <si>
    <t>313YK411BLUE</t>
  </si>
  <si>
    <t>07.11.2025</t>
  </si>
  <si>
    <t>1529YKWINE</t>
  </si>
  <si>
    <t>08.11.2025</t>
  </si>
  <si>
    <t>224YK148BNDJ</t>
  </si>
  <si>
    <t>1065YKBLUE</t>
  </si>
  <si>
    <t>6028SKDMAROON(Dupatta)</t>
  </si>
  <si>
    <t>10.11.2025</t>
  </si>
  <si>
    <t>1895YKDGREY</t>
  </si>
  <si>
    <t>193YK251FIROZI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</si>
</sst>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2" fontId="0" fillId="0" borderId="1" xfId="0" applyNumberFormat="1" applyBorder="1"/>
    <xf numFmtId="0" fontId="0" fillId="0" borderId="1" xfId="0" applyBorder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2" fontId="3" fillId="0" borderId="2" xfId="0" applyNumberFormat="1" applyFont="1" applyBorder="1"/>
    <xf numFmtId="0" fontId="0" fillId="0" borderId="6" xfId="0" applyBorder="1"/>
    <xf numFmtId="0" fontId="3" fillId="0" borderId="7" xfId="0" applyFont="1" applyBorder="1"/>
    <xf numFmtId="0" fontId="2" fillId="0" borderId="9" xfId="0" applyFont="1" applyBorder="1"/>
    <xf numFmtId="2" fontId="2" fillId="0" borderId="9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3" fillId="0" borderId="12" xfId="0" applyFont="1" applyBorder="1"/>
    <xf numFmtId="0" fontId="2" fillId="0" borderId="3" xfId="0" applyFont="1" applyBorder="1"/>
    <xf numFmtId="0" fontId="0" fillId="0" borderId="4" xfId="0" applyBorder="1"/>
    <xf numFmtId="0" fontId="0" fillId="0" borderId="14" xfId="0" applyBorder="1"/>
    <xf numFmtId="2" fontId="0" fillId="0" borderId="15" xfId="0" applyNumberFormat="1" applyBorder="1"/>
    <xf numFmtId="0" fontId="0" fillId="0" borderId="15" xfId="0" applyBorder="1"/>
    <xf numFmtId="0" fontId="2" fillId="0" borderId="10" xfId="0" applyFont="1" applyBorder="1"/>
    <xf numFmtId="0" fontId="0" fillId="0" borderId="11" xfId="0" applyBorder="1"/>
    <xf numFmtId="0" fontId="3" fillId="0" borderId="16" xfId="0" applyFont="1" applyBorder="1"/>
    <xf numFmtId="2" fontId="1" fillId="0" borderId="17" xfId="0" applyNumberFormat="1" applyFont="1" applyBorder="1"/>
    <xf numFmtId="0" fontId="0" fillId="0" borderId="10" xfId="0" applyBorder="1"/>
    <xf numFmtId="2" fontId="0" fillId="0" borderId="11" xfId="0" applyNumberFormat="1" applyBorder="1"/>
    <xf numFmtId="0" fontId="0" fillId="0" borderId="5" xfId="0" applyBorder="1"/>
    <xf numFmtId="0" fontId="3" fillId="0" borderId="18" xfId="0" applyFont="1" applyBorder="1"/>
    <xf numFmtId="2" fontId="1" fillId="0" borderId="19" xfId="0" applyNumberFormat="1" applyFont="1" applyBorder="1"/>
    <xf numFmtId="2" fontId="2" fillId="0" borderId="11" xfId="0" applyNumberFormat="1" applyFont="1" applyBorder="1"/>
    <xf numFmtId="2" fontId="1" fillId="0" borderId="13" xfId="0" applyNumberFormat="1" applyFont="1" applyBorder="1"/>
    <xf numFmtId="0" fontId="3" fillId="0" borderId="14" xfId="0" applyFont="1" applyBorder="1"/>
    <xf numFmtId="2" fontId="1" fillId="0" borderId="15" xfId="0" applyNumberFormat="1" applyFont="1" applyBorder="1"/>
    <xf numFmtId="0" fontId="3" fillId="0" borderId="10" xfId="0" applyFont="1" applyBorder="1"/>
    <xf numFmtId="2" fontId="1" fillId="0" borderId="11" xfId="0" applyNumberFormat="1" applyFont="1" applyBorder="1"/>
    <xf numFmtId="2" fontId="0" fillId="0" borderId="0" xfId="0" applyNumberFormat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5" xfId="0" applyFont="1" applyBorder="1"/>
    <xf numFmtId="1" fontId="3" fillId="0" borderId="20" xfId="0" applyNumberFormat="1" applyFont="1" applyBorder="1"/>
    <xf numFmtId="0" fontId="0" fillId="0" borderId="12" xfId="0" applyBorder="1"/>
    <xf numFmtId="2" fontId="0" fillId="0" borderId="13" xfId="0" applyNumberFormat="1" applyBorder="1"/>
    <xf numFmtId="0" fontId="1" fillId="2" borderId="6" xfId="0" applyFont="1" applyFill="1" applyBorder="1"/>
    <xf numFmtId="0" fontId="1" fillId="2" borderId="5" xfId="0" applyFont="1" applyFill="1" applyBorder="1"/>
    <xf numFmtId="0" fontId="1" fillId="0" borderId="21" xfId="0" applyFont="1" applyBorder="1"/>
    <xf numFmtId="0" fontId="1" fillId="0" borderId="22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13" xfId="0" applyBorder="1"/>
    <xf numFmtId="0" fontId="3" fillId="0" borderId="3" xfId="0" applyFont="1" applyBorder="1"/>
    <xf numFmtId="2" fontId="1" fillId="0" borderId="4" xfId="0" applyNumberFormat="1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3" xfId="0" applyFont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6" xfId="0" applyFont="1" applyFill="1" applyBorder="1"/>
    <xf numFmtId="0" fontId="1" fillId="3" borderId="5" xfId="0" applyFont="1" applyFill="1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U BHATT" id="{6A6B6078-4398-4686-870D-35113E2DBACC}" userId="S::ashu@yashgallery.com::e853e3fb-98cc-4861-b028-342fac0f05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8" dT="2025-09-08T12:49:39.83" personId="{6A6B6078-4398-4686-870D-35113E2DBACC}" id="{5068054A-831C-4CE6-B977-6FBEB4FAC9B2}">
    <text xml:space="preserve"> 1. Khiru
179YK295MULTI
1516YKRED
1251YKMAROON
 2. Sirajuddin
7036YKBLS Kansai
7042YKBLS Kansai
 3.Soniya Sani
401 Dupatta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1" dT="2025-11-01T12:14:21.00" personId="{6A6B6078-4398-4686-870D-35113E2DBACC}" id="{0A02357C-2E9D-460A-87B5-1FBBE1A27692}">
    <text xml:space="preserve">Embroidery
</text>
  </threadedComment>
  <threadedComment ref="E121" dT="2025-11-01T12:14:21.00" personId="{6A6B6078-4398-4686-870D-35113E2DBACC}" id="{199C8780-3F59-46F9-94E5-DBBF2113C778}">
    <text xml:space="preserve">Embroidery
</text>
  </threadedComment>
  <threadedComment ref="B140" dT="2025-11-01T12:14:21.00" personId="{6A6B6078-4398-4686-870D-35113E2DBACC}" id="{E97469AD-DE1F-4692-BADE-4C72C31B3F5E}">
    <text xml:space="preserve">Embroidery
</text>
  </threadedComment>
  <threadedComment ref="E140" dT="2025-11-01T12:14:21.00" personId="{6A6B6078-4398-4686-870D-35113E2DBACC}" id="{98948D6E-6357-46B8-9971-D0725B236198}">
    <text xml:space="preserve">Embroidery
</text>
  </threadedComment>
  <threadedComment ref="H140" dT="2025-11-01T12:14:21.00" personId="{6A6B6078-4398-4686-870D-35113E2DBACC}" id="{80F4CD7D-D4EB-46CA-9DE7-16FF266DCDF8}">
    <text xml:space="preserve">Embroidery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91FE-E614-4087-BAC3-4D455B7ED658}">
  <sheetPr>
    <pageSetUpPr fitToPage="1"/>
  </sheetPr>
  <dimension ref="A1:U104"/>
  <sheetViews>
    <sheetView topLeftCell="H1" workbookViewId="0">
      <selection activeCell="P51" sqref="P51"/>
    </sheetView>
  </sheetViews>
  <sheetFormatPr defaultRowHeight="15" x14ac:dyDescent="0.25"/>
  <cols>
    <col min="1" max="1" width="25.28515625" bestFit="1" customWidth="1"/>
    <col min="2" max="2" width="12" bestFit="1" customWidth="1"/>
    <col min="3" max="3" width="15.140625" bestFit="1" customWidth="1"/>
    <col min="4" max="4" width="26.5703125" bestFit="1" customWidth="1"/>
    <col min="5" max="5" width="10.140625" bestFit="1" customWidth="1"/>
    <col min="6" max="6" width="15.5703125" bestFit="1" customWidth="1"/>
    <col min="7" max="7" width="27" bestFit="1" customWidth="1"/>
    <col min="8" max="8" width="10.140625" bestFit="1" customWidth="1"/>
    <col min="9" max="9" width="15.42578125" bestFit="1" customWidth="1"/>
    <col min="10" max="10" width="27" bestFit="1" customWidth="1"/>
    <col min="11" max="11" width="11" bestFit="1" customWidth="1"/>
    <col min="12" max="12" width="12.5703125" bestFit="1" customWidth="1"/>
    <col min="13" max="13" width="35.5703125" bestFit="1" customWidth="1"/>
    <col min="14" max="14" width="12" bestFit="1" customWidth="1"/>
    <col min="16" max="16" width="35.5703125" bestFit="1" customWidth="1"/>
    <col min="17" max="17" width="10.140625" bestFit="1" customWidth="1"/>
    <col min="18" max="18" width="10.5703125" bestFit="1" customWidth="1"/>
    <col min="19" max="19" width="35.5703125" bestFit="1" customWidth="1"/>
    <col min="20" max="20" width="10.140625" bestFit="1" customWidth="1"/>
  </cols>
  <sheetData>
    <row r="1" spans="1:21" x14ac:dyDescent="0.25">
      <c r="A1" s="15" t="s">
        <v>25</v>
      </c>
      <c r="B1" s="16" t="s">
        <v>33</v>
      </c>
      <c r="D1" s="15" t="s">
        <v>25</v>
      </c>
      <c r="E1" s="16" t="s">
        <v>39</v>
      </c>
      <c r="G1" s="15" t="s">
        <v>25</v>
      </c>
      <c r="H1" s="16" t="s">
        <v>56</v>
      </c>
      <c r="J1" s="15" t="s">
        <v>25</v>
      </c>
      <c r="K1" s="16" t="s">
        <v>76</v>
      </c>
      <c r="M1" s="15" t="s">
        <v>25</v>
      </c>
      <c r="N1" s="16" t="s">
        <v>87</v>
      </c>
      <c r="P1" s="15" t="s">
        <v>25</v>
      </c>
      <c r="Q1" s="16" t="s">
        <v>101</v>
      </c>
      <c r="S1" s="15" t="s">
        <v>25</v>
      </c>
      <c r="T1" s="16" t="s">
        <v>107</v>
      </c>
    </row>
    <row r="2" spans="1:21" ht="15.75" thickBot="1" x14ac:dyDescent="0.3">
      <c r="A2" s="17" t="s">
        <v>17</v>
      </c>
      <c r="B2" s="18" t="s">
        <v>18</v>
      </c>
      <c r="D2" s="17" t="s">
        <v>17</v>
      </c>
      <c r="E2" s="18" t="s">
        <v>18</v>
      </c>
      <c r="G2" s="45" t="s">
        <v>17</v>
      </c>
      <c r="H2" s="46" t="s">
        <v>18</v>
      </c>
      <c r="J2" s="45" t="s">
        <v>17</v>
      </c>
      <c r="K2" s="46" t="s">
        <v>18</v>
      </c>
      <c r="M2" s="45" t="s">
        <v>17</v>
      </c>
      <c r="N2" s="46" t="s">
        <v>18</v>
      </c>
      <c r="P2" s="45" t="s">
        <v>17</v>
      </c>
      <c r="Q2" s="46" t="s">
        <v>18</v>
      </c>
      <c r="S2" s="45" t="s">
        <v>17</v>
      </c>
      <c r="T2" s="46" t="s">
        <v>18</v>
      </c>
    </row>
    <row r="3" spans="1:21" x14ac:dyDescent="0.25">
      <c r="A3" s="29" t="s">
        <v>12</v>
      </c>
      <c r="B3" s="26">
        <v>367.5</v>
      </c>
      <c r="D3" s="29" t="s">
        <v>12</v>
      </c>
      <c r="E3" s="30">
        <v>833.75</v>
      </c>
      <c r="G3" s="48" t="s">
        <v>55</v>
      </c>
      <c r="H3" s="49">
        <v>780</v>
      </c>
      <c r="J3" s="48" t="s">
        <v>15</v>
      </c>
      <c r="K3" s="49">
        <v>813.75</v>
      </c>
      <c r="M3" s="48" t="s">
        <v>35</v>
      </c>
      <c r="N3" s="56">
        <v>5213.75</v>
      </c>
      <c r="P3" s="48" t="s">
        <v>96</v>
      </c>
      <c r="Q3" s="49">
        <v>467.5</v>
      </c>
      <c r="S3" s="48" t="s">
        <v>12</v>
      </c>
      <c r="T3" s="49">
        <v>575</v>
      </c>
    </row>
    <row r="4" spans="1:21" x14ac:dyDescent="0.25">
      <c r="A4" s="3" t="s">
        <v>13</v>
      </c>
      <c r="B4" s="21">
        <v>4775</v>
      </c>
      <c r="D4" s="3" t="s">
        <v>13</v>
      </c>
      <c r="E4" s="4">
        <v>7130.6766917293235</v>
      </c>
      <c r="G4" s="3" t="s">
        <v>15</v>
      </c>
      <c r="H4" s="4">
        <v>445</v>
      </c>
      <c r="J4" s="3" t="s">
        <v>60</v>
      </c>
      <c r="K4" s="4">
        <v>865</v>
      </c>
      <c r="M4" s="3" t="s">
        <v>2</v>
      </c>
      <c r="N4" s="21">
        <v>3723.75</v>
      </c>
      <c r="P4" s="3" t="s">
        <v>52</v>
      </c>
      <c r="Q4" s="4">
        <v>2207.5</v>
      </c>
      <c r="S4" s="3" t="s">
        <v>2</v>
      </c>
      <c r="T4" s="4">
        <v>500</v>
      </c>
    </row>
    <row r="5" spans="1:21" x14ac:dyDescent="0.25">
      <c r="A5" s="3" t="s">
        <v>28</v>
      </c>
      <c r="B5" s="21">
        <v>1998.75</v>
      </c>
      <c r="D5" s="3" t="s">
        <v>15</v>
      </c>
      <c r="E5" s="4">
        <v>200</v>
      </c>
      <c r="G5" s="3" t="s">
        <v>41</v>
      </c>
      <c r="H5" s="4">
        <v>235</v>
      </c>
      <c r="J5" s="3" t="s">
        <v>35</v>
      </c>
      <c r="K5" s="4">
        <v>958.75</v>
      </c>
      <c r="M5" s="3" t="s">
        <v>37</v>
      </c>
      <c r="N5" s="21">
        <v>55</v>
      </c>
      <c r="P5" s="3" t="s">
        <v>97</v>
      </c>
      <c r="Q5" s="4">
        <v>1100</v>
      </c>
      <c r="S5" s="3" t="s">
        <v>52</v>
      </c>
      <c r="T5" s="4">
        <v>3211.25</v>
      </c>
    </row>
    <row r="6" spans="1:21" x14ac:dyDescent="0.25">
      <c r="A6" s="3" t="s">
        <v>16</v>
      </c>
      <c r="B6" s="21">
        <v>170</v>
      </c>
      <c r="D6" s="3" t="s">
        <v>35</v>
      </c>
      <c r="E6" s="4">
        <v>2435</v>
      </c>
      <c r="G6" s="3" t="s">
        <v>35</v>
      </c>
      <c r="H6" s="4">
        <v>5860</v>
      </c>
      <c r="J6" s="3" t="s">
        <v>0</v>
      </c>
      <c r="K6" s="4">
        <v>220</v>
      </c>
      <c r="M6" s="3" t="s">
        <v>58</v>
      </c>
      <c r="N6" s="21">
        <v>586.25</v>
      </c>
      <c r="P6" s="3" t="s">
        <v>68</v>
      </c>
      <c r="Q6" s="4">
        <v>782.24624060150381</v>
      </c>
      <c r="S6" s="3" t="s">
        <v>97</v>
      </c>
      <c r="T6" s="4">
        <v>431.25</v>
      </c>
    </row>
    <row r="7" spans="1:21" x14ac:dyDescent="0.25">
      <c r="A7" s="3" t="s">
        <v>2</v>
      </c>
      <c r="B7" s="21">
        <v>610</v>
      </c>
      <c r="D7" s="3" t="s">
        <v>2</v>
      </c>
      <c r="E7" s="4">
        <v>2272.5</v>
      </c>
      <c r="G7" s="3" t="s">
        <v>2</v>
      </c>
      <c r="H7" s="4">
        <v>3946.25</v>
      </c>
      <c r="J7" s="3" t="s">
        <v>2</v>
      </c>
      <c r="K7" s="4">
        <v>1866.25</v>
      </c>
      <c r="M7" s="3" t="s">
        <v>74</v>
      </c>
      <c r="N7" s="21">
        <v>4235.4229323308273</v>
      </c>
      <c r="P7" s="3" t="s">
        <v>80</v>
      </c>
      <c r="Q7" s="4">
        <v>406.25</v>
      </c>
      <c r="S7" s="3" t="s">
        <v>68</v>
      </c>
      <c r="T7" s="4">
        <v>2225</v>
      </c>
    </row>
    <row r="8" spans="1:21" x14ac:dyDescent="0.25">
      <c r="A8" s="3" t="s">
        <v>3</v>
      </c>
      <c r="B8" s="21">
        <v>243.75</v>
      </c>
      <c r="D8" s="3" t="s">
        <v>3</v>
      </c>
      <c r="E8" s="4">
        <v>330</v>
      </c>
      <c r="G8" s="3" t="s">
        <v>52</v>
      </c>
      <c r="H8" s="4">
        <v>117.5</v>
      </c>
      <c r="J8" s="3" t="s">
        <v>6</v>
      </c>
      <c r="K8" s="4">
        <v>293.75</v>
      </c>
      <c r="M8" s="3" t="s">
        <v>80</v>
      </c>
      <c r="N8" s="21">
        <v>1058.75</v>
      </c>
      <c r="P8" s="3" t="s">
        <v>81</v>
      </c>
      <c r="Q8" s="4">
        <v>8067.5</v>
      </c>
      <c r="S8" s="3" t="s">
        <v>69</v>
      </c>
      <c r="T8" s="4">
        <v>1907.5</v>
      </c>
    </row>
    <row r="9" spans="1:21" x14ac:dyDescent="0.25">
      <c r="A9" s="3" t="s">
        <v>4</v>
      </c>
      <c r="B9" s="21">
        <v>5277.5</v>
      </c>
      <c r="D9" s="3" t="s">
        <v>4</v>
      </c>
      <c r="E9" s="4">
        <v>922.5</v>
      </c>
      <c r="G9" s="3" t="s">
        <v>27</v>
      </c>
      <c r="H9" s="4">
        <v>5475</v>
      </c>
      <c r="J9" s="3" t="s">
        <v>57</v>
      </c>
      <c r="K9" s="4">
        <v>2546.25</v>
      </c>
      <c r="M9" s="3" t="s">
        <v>81</v>
      </c>
      <c r="N9" s="21">
        <v>4106.25</v>
      </c>
      <c r="P9" s="3" t="s">
        <v>98</v>
      </c>
      <c r="Q9" s="4">
        <v>4313.75</v>
      </c>
      <c r="S9" s="3" t="s">
        <v>98</v>
      </c>
      <c r="T9" s="4">
        <v>2438.75</v>
      </c>
    </row>
    <row r="10" spans="1:21" x14ac:dyDescent="0.25">
      <c r="A10" s="3" t="s">
        <v>5</v>
      </c>
      <c r="B10" s="21">
        <v>2945</v>
      </c>
      <c r="D10" s="3" t="s">
        <v>5</v>
      </c>
      <c r="E10" s="4">
        <v>3112.5</v>
      </c>
      <c r="G10" s="3" t="s">
        <v>6</v>
      </c>
      <c r="H10" s="4">
        <v>2938.75</v>
      </c>
      <c r="J10" s="3" t="s">
        <v>37</v>
      </c>
      <c r="K10" s="4">
        <v>2301.25</v>
      </c>
      <c r="M10" s="3" t="s">
        <v>82</v>
      </c>
      <c r="N10" s="21">
        <v>712.5</v>
      </c>
      <c r="P10" s="3" t="s">
        <v>84</v>
      </c>
      <c r="Q10" s="4">
        <v>4487.5</v>
      </c>
      <c r="S10" s="3" t="s">
        <v>91</v>
      </c>
      <c r="T10" s="4">
        <v>3016.25</v>
      </c>
    </row>
    <row r="11" spans="1:21" x14ac:dyDescent="0.25">
      <c r="A11" s="3" t="s">
        <v>27</v>
      </c>
      <c r="B11" s="21">
        <v>2222.5</v>
      </c>
      <c r="D11" s="3" t="s">
        <v>27</v>
      </c>
      <c r="E11" s="4">
        <v>115</v>
      </c>
      <c r="G11" s="3" t="s">
        <v>57</v>
      </c>
      <c r="H11" s="4">
        <v>450</v>
      </c>
      <c r="J11" s="3" t="s">
        <v>58</v>
      </c>
      <c r="K11" s="4">
        <v>4051.25</v>
      </c>
      <c r="M11" s="3" t="s">
        <v>83</v>
      </c>
      <c r="N11" s="21">
        <v>1762.5</v>
      </c>
      <c r="P11" s="3" t="s">
        <v>91</v>
      </c>
      <c r="Q11" s="4">
        <v>61.25</v>
      </c>
      <c r="S11" s="3" t="s">
        <v>99</v>
      </c>
      <c r="T11" s="4">
        <v>2156.25</v>
      </c>
    </row>
    <row r="12" spans="1:21" ht="15.75" thickBot="1" x14ac:dyDescent="0.3">
      <c r="A12" s="3" t="s">
        <v>6</v>
      </c>
      <c r="B12" s="21">
        <v>1661.9230769230769</v>
      </c>
      <c r="D12" s="3" t="s">
        <v>6</v>
      </c>
      <c r="E12" s="4">
        <v>842.5</v>
      </c>
      <c r="G12" s="3" t="s">
        <v>8</v>
      </c>
      <c r="H12" s="4">
        <v>880</v>
      </c>
      <c r="J12" s="3" t="s">
        <v>66</v>
      </c>
      <c r="K12" s="4">
        <v>1541.25</v>
      </c>
      <c r="M12" s="22" t="s">
        <v>50</v>
      </c>
      <c r="N12" s="24">
        <v>687.5</v>
      </c>
      <c r="P12" s="3" t="s">
        <v>92</v>
      </c>
      <c r="Q12" s="4">
        <v>1180</v>
      </c>
      <c r="S12" s="3" t="s">
        <v>50</v>
      </c>
      <c r="T12" s="4">
        <v>500</v>
      </c>
    </row>
    <row r="13" spans="1:21" ht="16.5" thickBot="1" x14ac:dyDescent="0.3">
      <c r="A13" s="7" t="s">
        <v>9</v>
      </c>
      <c r="B13" s="31">
        <v>500</v>
      </c>
      <c r="C13" t="s">
        <v>31</v>
      </c>
      <c r="D13" s="3" t="s">
        <v>7</v>
      </c>
      <c r="E13" s="4">
        <v>778.75</v>
      </c>
      <c r="G13" s="3" t="s">
        <v>58</v>
      </c>
      <c r="H13" s="4">
        <v>3543.2988721804509</v>
      </c>
      <c r="J13" s="3" t="s">
        <v>67</v>
      </c>
      <c r="K13" s="4">
        <v>4538.5150375939847</v>
      </c>
      <c r="M13" s="38" t="s">
        <v>21</v>
      </c>
      <c r="N13" s="39">
        <v>22423</v>
      </c>
      <c r="P13" s="3" t="s">
        <v>50</v>
      </c>
      <c r="Q13" s="4">
        <v>500</v>
      </c>
      <c r="S13" s="22" t="s">
        <v>9</v>
      </c>
      <c r="T13" s="23">
        <v>315</v>
      </c>
      <c r="U13" t="s">
        <v>102</v>
      </c>
    </row>
    <row r="14" spans="1:21" ht="16.5" thickBot="1" x14ac:dyDescent="0.3">
      <c r="A14" s="19" t="s">
        <v>19</v>
      </c>
      <c r="B14" s="16">
        <f>SUM(B3:B13)</f>
        <v>20771.923076923078</v>
      </c>
      <c r="D14" s="3" t="s">
        <v>8</v>
      </c>
      <c r="E14" s="4">
        <v>2356.9360902255639</v>
      </c>
      <c r="G14" s="3" t="s">
        <v>66</v>
      </c>
      <c r="H14" s="4">
        <v>176.25</v>
      </c>
      <c r="J14" s="3" t="s">
        <v>68</v>
      </c>
      <c r="K14" s="4">
        <v>137.5</v>
      </c>
      <c r="M14" s="36" t="s">
        <v>19</v>
      </c>
      <c r="N14" s="37">
        <f>SUM(N3:N12)</f>
        <v>22141.672932330828</v>
      </c>
      <c r="P14" s="22" t="s">
        <v>9</v>
      </c>
      <c r="Q14" s="23">
        <v>890</v>
      </c>
      <c r="R14" t="s">
        <v>102</v>
      </c>
      <c r="S14" s="38" t="s">
        <v>21</v>
      </c>
      <c r="T14" s="39">
        <v>17276.25</v>
      </c>
    </row>
    <row r="15" spans="1:21" ht="15.75" x14ac:dyDescent="0.25">
      <c r="A15" s="20" t="s">
        <v>21</v>
      </c>
      <c r="B15" s="21">
        <v>20771</v>
      </c>
      <c r="D15" s="3" t="s">
        <v>36</v>
      </c>
      <c r="E15" s="4">
        <v>687.5</v>
      </c>
      <c r="G15" s="3" t="s">
        <v>67</v>
      </c>
      <c r="H15" s="4">
        <v>856.25</v>
      </c>
      <c r="J15" s="3" t="s">
        <v>69</v>
      </c>
      <c r="K15" s="4">
        <v>225</v>
      </c>
      <c r="M15" s="29" t="s">
        <v>22</v>
      </c>
      <c r="N15" s="30">
        <f>N13-N14</f>
        <v>281.32706766917181</v>
      </c>
      <c r="P15" s="38" t="s">
        <v>21</v>
      </c>
      <c r="Q15" s="39">
        <v>24865.649038461539</v>
      </c>
      <c r="S15" s="57" t="s">
        <v>19</v>
      </c>
      <c r="T15" s="58">
        <f>SUM(T3:T13)</f>
        <v>17276.25</v>
      </c>
    </row>
    <row r="16" spans="1:21" ht="16.5" thickBot="1" x14ac:dyDescent="0.3">
      <c r="A16" s="22" t="s">
        <v>22</v>
      </c>
      <c r="B16" s="23">
        <f>B14-B15</f>
        <v>0.92307692307804246</v>
      </c>
      <c r="D16" s="7" t="s">
        <v>37</v>
      </c>
      <c r="E16" s="5">
        <v>425</v>
      </c>
      <c r="G16" s="3" t="s">
        <v>50</v>
      </c>
      <c r="H16" s="4">
        <v>687.5</v>
      </c>
      <c r="J16" s="3" t="s">
        <v>73</v>
      </c>
      <c r="K16" s="4">
        <v>4235.3125</v>
      </c>
      <c r="M16" s="3" t="s">
        <v>65</v>
      </c>
      <c r="N16" s="4">
        <v>275</v>
      </c>
      <c r="P16" s="36" t="s">
        <v>19</v>
      </c>
      <c r="Q16" s="37">
        <f>SUM(Q3:Q14)</f>
        <v>24463.496240601504</v>
      </c>
      <c r="S16" s="22" t="s">
        <v>44</v>
      </c>
      <c r="T16" s="23">
        <f>T14-T15</f>
        <v>0</v>
      </c>
    </row>
    <row r="17" spans="1:17" ht="16.5" thickBot="1" x14ac:dyDescent="0.3">
      <c r="D17" s="27" t="s">
        <v>19</v>
      </c>
      <c r="E17" s="28">
        <f>SUM(E3:E16)</f>
        <v>22442.612781954889</v>
      </c>
      <c r="G17" s="22" t="s">
        <v>9</v>
      </c>
      <c r="H17" s="23">
        <v>581.25</v>
      </c>
      <c r="J17" s="22" t="s">
        <v>50</v>
      </c>
      <c r="K17" s="23">
        <v>687.5</v>
      </c>
      <c r="M17" s="3" t="s">
        <v>10</v>
      </c>
      <c r="N17" s="4">
        <v>0</v>
      </c>
      <c r="P17" s="29" t="s">
        <v>22</v>
      </c>
      <c r="Q17" s="30">
        <f>Q15-Q16</f>
        <v>402.15279786003521</v>
      </c>
    </row>
    <row r="18" spans="1:17" ht="16.5" thickBot="1" x14ac:dyDescent="0.3">
      <c r="A18" s="15" t="s">
        <v>25</v>
      </c>
      <c r="B18" s="16" t="s">
        <v>32</v>
      </c>
      <c r="D18" s="25" t="s">
        <v>21</v>
      </c>
      <c r="E18" s="26">
        <v>22747.75</v>
      </c>
      <c r="G18" s="38" t="s">
        <v>21</v>
      </c>
      <c r="H18" s="47">
        <v>27810.875</v>
      </c>
      <c r="J18" s="38" t="s">
        <v>21</v>
      </c>
      <c r="K18" s="39">
        <v>26063</v>
      </c>
      <c r="M18" s="22" t="s">
        <v>44</v>
      </c>
      <c r="N18" s="23">
        <f>N15-N17-N16</f>
        <v>6.3270676691718108</v>
      </c>
      <c r="P18" s="3" t="s">
        <v>65</v>
      </c>
      <c r="Q18" s="4">
        <v>396</v>
      </c>
    </row>
    <row r="19" spans="1:17" ht="16.5" thickBot="1" x14ac:dyDescent="0.3">
      <c r="A19" s="17" t="s">
        <v>17</v>
      </c>
      <c r="B19" s="18" t="s">
        <v>18</v>
      </c>
      <c r="D19" s="3" t="s">
        <v>22</v>
      </c>
      <c r="E19" s="4">
        <f>E17-E18</f>
        <v>-305.13721804511079</v>
      </c>
      <c r="G19" s="36" t="s">
        <v>19</v>
      </c>
      <c r="H19" s="37">
        <f>SUM(H3:H17)</f>
        <v>26972.04887218045</v>
      </c>
      <c r="J19" s="36" t="s">
        <v>19</v>
      </c>
      <c r="K19" s="37">
        <f>SUM(K3:K17)</f>
        <v>25281.327537593985</v>
      </c>
      <c r="P19" s="3" t="s">
        <v>10</v>
      </c>
      <c r="Q19" s="4">
        <v>0</v>
      </c>
    </row>
    <row r="20" spans="1:17" ht="15.75" thickBot="1" x14ac:dyDescent="0.3">
      <c r="A20" s="29" t="s">
        <v>13</v>
      </c>
      <c r="B20" s="26">
        <v>5798.8110902255639</v>
      </c>
      <c r="D20" s="22" t="s">
        <v>11</v>
      </c>
      <c r="E20" s="24">
        <v>300</v>
      </c>
      <c r="G20" s="29" t="s">
        <v>22</v>
      </c>
      <c r="H20" s="30">
        <f>H18-H19</f>
        <v>838.82612781954958</v>
      </c>
      <c r="J20" s="29" t="s">
        <v>22</v>
      </c>
      <c r="K20" s="30">
        <f>K18-K19</f>
        <v>781.67246240601526</v>
      </c>
      <c r="M20" s="15" t="s">
        <v>25</v>
      </c>
      <c r="N20" s="16" t="s">
        <v>88</v>
      </c>
      <c r="P20" s="22" t="s">
        <v>44</v>
      </c>
      <c r="Q20" s="23">
        <f>Q17-Q19-Q18</f>
        <v>6.1527978600352071</v>
      </c>
    </row>
    <row r="21" spans="1:17" ht="15.75" thickBot="1" x14ac:dyDescent="0.3">
      <c r="A21" s="3" t="s">
        <v>28</v>
      </c>
      <c r="B21" s="21">
        <v>1178.75</v>
      </c>
      <c r="G21" s="3" t="s">
        <v>11</v>
      </c>
      <c r="H21" s="21">
        <v>300</v>
      </c>
      <c r="I21" t="s">
        <v>24</v>
      </c>
      <c r="J21" s="3" t="s">
        <v>65</v>
      </c>
      <c r="K21" s="4">
        <v>275</v>
      </c>
      <c r="L21" t="s">
        <v>24</v>
      </c>
      <c r="M21" s="45" t="s">
        <v>17</v>
      </c>
      <c r="N21" s="46" t="s">
        <v>18</v>
      </c>
    </row>
    <row r="22" spans="1:17" x14ac:dyDescent="0.25">
      <c r="A22" s="3" t="s">
        <v>15</v>
      </c>
      <c r="B22" s="21">
        <v>396.25</v>
      </c>
      <c r="D22" s="15" t="s">
        <v>25</v>
      </c>
      <c r="E22" s="16" t="s">
        <v>42</v>
      </c>
      <c r="G22" s="3" t="s">
        <v>10</v>
      </c>
      <c r="H22" s="21">
        <v>531.75</v>
      </c>
      <c r="I22" t="s">
        <v>23</v>
      </c>
      <c r="J22" s="3" t="s">
        <v>10</v>
      </c>
      <c r="K22" s="4">
        <v>500.5</v>
      </c>
      <c r="L22" t="s">
        <v>23</v>
      </c>
      <c r="M22" s="48" t="s">
        <v>13</v>
      </c>
      <c r="N22" s="56">
        <v>260</v>
      </c>
      <c r="P22" s="15" t="s">
        <v>25</v>
      </c>
      <c r="Q22" s="16" t="s">
        <v>103</v>
      </c>
    </row>
    <row r="23" spans="1:17" ht="15.75" thickBot="1" x14ac:dyDescent="0.3">
      <c r="A23" s="3" t="s">
        <v>3</v>
      </c>
      <c r="B23" s="21">
        <v>237.5</v>
      </c>
      <c r="D23" s="17" t="s">
        <v>17</v>
      </c>
      <c r="E23" s="18" t="s">
        <v>18</v>
      </c>
      <c r="G23" s="22" t="s">
        <v>44</v>
      </c>
      <c r="H23" s="23">
        <f>H20-H21-H22</f>
        <v>7.0761278195495834</v>
      </c>
      <c r="J23" s="22" t="s">
        <v>44</v>
      </c>
      <c r="K23" s="23">
        <f>K20-K22-K21</f>
        <v>6.1724624060152564</v>
      </c>
      <c r="M23" s="3" t="s">
        <v>35</v>
      </c>
      <c r="N23" s="21">
        <v>3580</v>
      </c>
      <c r="P23" s="45" t="s">
        <v>17</v>
      </c>
      <c r="Q23" s="46" t="s">
        <v>18</v>
      </c>
    </row>
    <row r="24" spans="1:17" ht="15.75" thickBot="1" x14ac:dyDescent="0.3">
      <c r="A24" s="3" t="s">
        <v>4</v>
      </c>
      <c r="B24" s="21">
        <v>5605</v>
      </c>
      <c r="D24" s="29" t="s">
        <v>12</v>
      </c>
      <c r="E24" s="30">
        <v>670</v>
      </c>
      <c r="M24" s="3" t="s">
        <v>2</v>
      </c>
      <c r="N24" s="21">
        <v>1803.4375</v>
      </c>
      <c r="P24" s="48" t="s">
        <v>60</v>
      </c>
      <c r="Q24" s="49">
        <v>646.25</v>
      </c>
    </row>
    <row r="25" spans="1:17" ht="15.75" thickBot="1" x14ac:dyDescent="0.3">
      <c r="A25" s="3" t="s">
        <v>5</v>
      </c>
      <c r="B25" s="21">
        <v>2542.5</v>
      </c>
      <c r="D25" s="3" t="s">
        <v>13</v>
      </c>
      <c r="E25" s="4">
        <v>3588.75</v>
      </c>
      <c r="G25" s="41" t="s">
        <v>25</v>
      </c>
      <c r="H25" s="42" t="s">
        <v>61</v>
      </c>
      <c r="J25" s="52" t="s">
        <v>25</v>
      </c>
      <c r="K25" s="53" t="s">
        <v>77</v>
      </c>
      <c r="M25" s="3" t="s">
        <v>58</v>
      </c>
      <c r="N25" s="21">
        <v>183.75</v>
      </c>
      <c r="P25" s="3" t="s">
        <v>95</v>
      </c>
      <c r="Q25" s="4">
        <v>82.5</v>
      </c>
    </row>
    <row r="26" spans="1:17" ht="15.75" thickBot="1" x14ac:dyDescent="0.3">
      <c r="A26" s="3" t="s">
        <v>27</v>
      </c>
      <c r="B26" s="21">
        <v>2575</v>
      </c>
      <c r="D26" s="3" t="s">
        <v>14</v>
      </c>
      <c r="E26" s="4">
        <v>120</v>
      </c>
      <c r="G26" s="43" t="s">
        <v>17</v>
      </c>
      <c r="H26" s="44" t="s">
        <v>18</v>
      </c>
      <c r="J26" s="54" t="s">
        <v>17</v>
      </c>
      <c r="K26" s="55" t="s">
        <v>18</v>
      </c>
      <c r="M26" s="3" t="s">
        <v>74</v>
      </c>
      <c r="N26" s="21">
        <v>1817.5</v>
      </c>
      <c r="P26" s="3" t="s">
        <v>96</v>
      </c>
      <c r="Q26" s="4">
        <v>125</v>
      </c>
    </row>
    <row r="27" spans="1:17" x14ac:dyDescent="0.25">
      <c r="A27" s="3" t="s">
        <v>6</v>
      </c>
      <c r="B27" s="21">
        <v>1835.9985902255639</v>
      </c>
      <c r="D27" s="3" t="s">
        <v>40</v>
      </c>
      <c r="E27" s="4">
        <v>293.75</v>
      </c>
      <c r="G27" s="29" t="s">
        <v>55</v>
      </c>
      <c r="H27" s="30">
        <v>575</v>
      </c>
      <c r="J27" s="29" t="s">
        <v>13</v>
      </c>
      <c r="K27" s="26">
        <v>632.5</v>
      </c>
      <c r="M27" s="3" t="s">
        <v>80</v>
      </c>
      <c r="N27" s="21">
        <v>3515</v>
      </c>
      <c r="P27" s="3" t="s">
        <v>52</v>
      </c>
      <c r="Q27" s="4">
        <v>2003.75</v>
      </c>
    </row>
    <row r="28" spans="1:17" ht="15.75" thickBot="1" x14ac:dyDescent="0.3">
      <c r="A28" s="7" t="s">
        <v>9</v>
      </c>
      <c r="B28" s="31">
        <v>187.5</v>
      </c>
      <c r="C28" t="s">
        <v>30</v>
      </c>
      <c r="D28" s="3" t="s">
        <v>41</v>
      </c>
      <c r="E28" s="4">
        <v>117.5</v>
      </c>
      <c r="G28" s="3" t="s">
        <v>15</v>
      </c>
      <c r="H28" s="4">
        <v>150</v>
      </c>
      <c r="J28" s="3" t="s">
        <v>15</v>
      </c>
      <c r="K28" s="21">
        <v>611.25</v>
      </c>
      <c r="M28" s="3" t="s">
        <v>81</v>
      </c>
      <c r="N28" s="21">
        <v>3896.25</v>
      </c>
      <c r="P28" s="3" t="s">
        <v>97</v>
      </c>
      <c r="Q28" s="4">
        <v>1980</v>
      </c>
    </row>
    <row r="29" spans="1:17" ht="16.5" thickBot="1" x14ac:dyDescent="0.3">
      <c r="A29" s="27" t="s">
        <v>19</v>
      </c>
      <c r="B29" s="28">
        <f>SUM(B20:B28)</f>
        <v>20357.30968045113</v>
      </c>
      <c r="D29" s="3" t="s">
        <v>35</v>
      </c>
      <c r="E29" s="4">
        <v>7400</v>
      </c>
      <c r="G29" s="3" t="s">
        <v>60</v>
      </c>
      <c r="H29" s="4">
        <v>1021.25</v>
      </c>
      <c r="J29" s="3" t="s">
        <v>60</v>
      </c>
      <c r="K29" s="21">
        <v>435</v>
      </c>
      <c r="M29" s="3" t="s">
        <v>83</v>
      </c>
      <c r="N29" s="21">
        <v>835</v>
      </c>
      <c r="P29" s="3" t="s">
        <v>68</v>
      </c>
      <c r="Q29" s="4">
        <v>1195</v>
      </c>
    </row>
    <row r="30" spans="1:17" ht="15.75" x14ac:dyDescent="0.25">
      <c r="A30" s="25" t="s">
        <v>21</v>
      </c>
      <c r="B30" s="26">
        <v>20663</v>
      </c>
      <c r="D30" s="3" t="s">
        <v>2</v>
      </c>
      <c r="E30" s="4">
        <v>2917.5</v>
      </c>
      <c r="G30" s="3" t="s">
        <v>35</v>
      </c>
      <c r="H30" s="4">
        <v>3426.875</v>
      </c>
      <c r="J30" s="3" t="s">
        <v>35</v>
      </c>
      <c r="K30" s="21">
        <v>865</v>
      </c>
      <c r="M30" s="3" t="s">
        <v>84</v>
      </c>
      <c r="N30" s="21">
        <v>3723.75</v>
      </c>
      <c r="P30" s="3" t="s">
        <v>69</v>
      </c>
      <c r="Q30" s="4">
        <v>207.5</v>
      </c>
    </row>
    <row r="31" spans="1:17" ht="15.75" thickBot="1" x14ac:dyDescent="0.3">
      <c r="A31" s="3" t="s">
        <v>22</v>
      </c>
      <c r="B31" s="4">
        <f>B29-B30</f>
        <v>-305.69031954887032</v>
      </c>
      <c r="D31" s="3" t="s">
        <v>3</v>
      </c>
      <c r="E31" s="4">
        <v>200</v>
      </c>
      <c r="G31" s="3" t="s">
        <v>2</v>
      </c>
      <c r="H31" s="4">
        <v>2608.8251879699246</v>
      </c>
      <c r="J31" s="3" t="s">
        <v>2</v>
      </c>
      <c r="K31" s="21">
        <v>1055</v>
      </c>
      <c r="M31" s="22" t="s">
        <v>50</v>
      </c>
      <c r="N31" s="24">
        <v>687.5</v>
      </c>
      <c r="P31" s="3" t="s">
        <v>81</v>
      </c>
      <c r="Q31" s="4">
        <v>8363.75</v>
      </c>
    </row>
    <row r="32" spans="1:17" ht="16.5" thickBot="1" x14ac:dyDescent="0.3">
      <c r="A32" s="22" t="s">
        <v>11</v>
      </c>
      <c r="B32" s="24">
        <v>300</v>
      </c>
      <c r="D32" s="3" t="s">
        <v>4</v>
      </c>
      <c r="E32" s="4">
        <v>322.5</v>
      </c>
      <c r="G32" s="3" t="s">
        <v>3</v>
      </c>
      <c r="H32" s="4">
        <v>50</v>
      </c>
      <c r="J32" s="3" t="s">
        <v>6</v>
      </c>
      <c r="K32" s="21">
        <v>260</v>
      </c>
      <c r="M32" s="38" t="s">
        <v>21</v>
      </c>
      <c r="N32" s="39">
        <v>20582</v>
      </c>
      <c r="P32" s="3" t="s">
        <v>98</v>
      </c>
      <c r="Q32" s="4">
        <v>4142.5</v>
      </c>
    </row>
    <row r="33" spans="1:18" ht="16.5" thickBot="1" x14ac:dyDescent="0.3">
      <c r="D33" s="3" t="s">
        <v>5</v>
      </c>
      <c r="E33" s="4">
        <v>3907.5</v>
      </c>
      <c r="G33" s="3" t="s">
        <v>6</v>
      </c>
      <c r="H33" s="4">
        <v>1403.75</v>
      </c>
      <c r="J33" s="3" t="s">
        <v>57</v>
      </c>
      <c r="K33" s="21">
        <v>2031.25</v>
      </c>
      <c r="M33" s="36" t="s">
        <v>19</v>
      </c>
      <c r="N33" s="37">
        <f>SUM(N22:N31)</f>
        <v>20302.1875</v>
      </c>
      <c r="P33" s="3" t="s">
        <v>84</v>
      </c>
      <c r="Q33" s="4">
        <v>1596.25</v>
      </c>
    </row>
    <row r="34" spans="1:18" x14ac:dyDescent="0.25">
      <c r="A34" s="15" t="s">
        <v>25</v>
      </c>
      <c r="B34" s="16" t="s">
        <v>34</v>
      </c>
      <c r="D34" s="3" t="s">
        <v>6</v>
      </c>
      <c r="E34" s="4">
        <v>1501.9877819548872</v>
      </c>
      <c r="G34" s="3" t="s">
        <v>57</v>
      </c>
      <c r="H34" s="4">
        <v>308.75</v>
      </c>
      <c r="J34" s="3" t="s">
        <v>37</v>
      </c>
      <c r="K34" s="21">
        <v>2036.25</v>
      </c>
      <c r="M34" s="29" t="s">
        <v>22</v>
      </c>
      <c r="N34" s="30">
        <f>N32-N33</f>
        <v>279.8125</v>
      </c>
      <c r="P34" s="3" t="s">
        <v>91</v>
      </c>
      <c r="Q34" s="4">
        <v>1477.5</v>
      </c>
    </row>
    <row r="35" spans="1:18" ht="15.75" thickBot="1" x14ac:dyDescent="0.3">
      <c r="A35" s="17" t="s">
        <v>17</v>
      </c>
      <c r="B35" s="18" t="s">
        <v>18</v>
      </c>
      <c r="D35" s="3" t="s">
        <v>7</v>
      </c>
      <c r="E35" s="4">
        <v>123.75</v>
      </c>
      <c r="G35" s="3" t="s">
        <v>8</v>
      </c>
      <c r="H35" s="4">
        <v>6085</v>
      </c>
      <c r="J35" s="3" t="s">
        <v>58</v>
      </c>
      <c r="K35" s="21">
        <v>4521.25</v>
      </c>
      <c r="M35" s="3" t="s">
        <v>65</v>
      </c>
      <c r="N35" s="4">
        <v>275</v>
      </c>
      <c r="P35" s="3" t="s">
        <v>92</v>
      </c>
      <c r="Q35" s="4">
        <v>2011.25</v>
      </c>
    </row>
    <row r="36" spans="1:18" x14ac:dyDescent="0.25">
      <c r="A36" s="29" t="s">
        <v>12</v>
      </c>
      <c r="B36" s="26">
        <v>172.5</v>
      </c>
      <c r="D36" s="3" t="s">
        <v>8</v>
      </c>
      <c r="E36" s="4">
        <v>561.25</v>
      </c>
      <c r="G36" s="3" t="s">
        <v>58</v>
      </c>
      <c r="H36" s="4">
        <v>2848.75</v>
      </c>
      <c r="J36" s="3" t="s">
        <v>67</v>
      </c>
      <c r="K36" s="21">
        <v>3075</v>
      </c>
      <c r="M36" s="3" t="s">
        <v>10</v>
      </c>
      <c r="N36" s="4">
        <v>0</v>
      </c>
      <c r="P36" s="3" t="s">
        <v>50</v>
      </c>
      <c r="Q36" s="4">
        <v>687.5</v>
      </c>
    </row>
    <row r="37" spans="1:18" ht="15.75" thickBot="1" x14ac:dyDescent="0.3">
      <c r="A37" s="3" t="s">
        <v>13</v>
      </c>
      <c r="B37" s="21">
        <v>10623.75</v>
      </c>
      <c r="D37" s="3" t="s">
        <v>37</v>
      </c>
      <c r="E37" s="4">
        <v>2325.0469924812032</v>
      </c>
      <c r="G37" s="3" t="s">
        <v>53</v>
      </c>
      <c r="H37" s="4">
        <v>2678.75</v>
      </c>
      <c r="J37" s="3" t="s">
        <v>69</v>
      </c>
      <c r="K37" s="21">
        <v>620</v>
      </c>
      <c r="M37" s="22" t="s">
        <v>44</v>
      </c>
      <c r="N37" s="23">
        <f>N34-N36-N35</f>
        <v>4.8125</v>
      </c>
      <c r="P37" s="22" t="s">
        <v>9</v>
      </c>
      <c r="Q37" s="23">
        <v>420</v>
      </c>
      <c r="R37" t="s">
        <v>102</v>
      </c>
    </row>
    <row r="38" spans="1:18" ht="16.5" thickBot="1" x14ac:dyDescent="0.3">
      <c r="A38" s="3" t="s">
        <v>28</v>
      </c>
      <c r="B38" s="21">
        <v>187.5</v>
      </c>
      <c r="D38" s="3" t="s">
        <v>9</v>
      </c>
      <c r="E38" s="4">
        <v>1307.5</v>
      </c>
      <c r="G38" s="3" t="s">
        <v>54</v>
      </c>
      <c r="H38" s="4">
        <v>2982.5751879699246</v>
      </c>
      <c r="J38" s="3" t="s">
        <v>73</v>
      </c>
      <c r="K38" s="21">
        <v>5202.5</v>
      </c>
      <c r="P38" s="38" t="s">
        <v>21</v>
      </c>
      <c r="Q38" s="39">
        <v>25340.461538461539</v>
      </c>
    </row>
    <row r="39" spans="1:18" ht="16.5" thickBot="1" x14ac:dyDescent="0.3">
      <c r="A39" s="3" t="s">
        <v>15</v>
      </c>
      <c r="B39" s="21">
        <v>430</v>
      </c>
      <c r="D39" s="32" t="s">
        <v>19</v>
      </c>
      <c r="E39" s="33">
        <f>SUM(E24:E38)</f>
        <v>25357.034774436088</v>
      </c>
      <c r="G39" s="3" t="s">
        <v>59</v>
      </c>
      <c r="H39" s="4">
        <v>1417.9229323308271</v>
      </c>
      <c r="J39" s="3" t="s">
        <v>74</v>
      </c>
      <c r="K39" s="21">
        <v>2920</v>
      </c>
      <c r="M39" s="15" t="s">
        <v>25</v>
      </c>
      <c r="N39" s="16" t="s">
        <v>89</v>
      </c>
      <c r="P39" s="36" t="s">
        <v>19</v>
      </c>
      <c r="Q39" s="37">
        <f>SUM(Q24:Q37)</f>
        <v>24938.75</v>
      </c>
    </row>
    <row r="40" spans="1:18" ht="16.5" thickBot="1" x14ac:dyDescent="0.3">
      <c r="A40" s="3" t="s">
        <v>0</v>
      </c>
      <c r="B40" s="21">
        <v>200</v>
      </c>
      <c r="D40" s="25" t="s">
        <v>21</v>
      </c>
      <c r="E40" s="30">
        <v>25862.875</v>
      </c>
      <c r="G40" s="3" t="s">
        <v>50</v>
      </c>
      <c r="H40" s="4">
        <v>687.5</v>
      </c>
      <c r="J40" s="3" t="s">
        <v>75</v>
      </c>
      <c r="K40" s="21">
        <v>790</v>
      </c>
      <c r="M40" s="45" t="s">
        <v>17</v>
      </c>
      <c r="N40" s="46" t="s">
        <v>18</v>
      </c>
      <c r="P40" s="29" t="s">
        <v>22</v>
      </c>
      <c r="Q40" s="30">
        <f>Q38-Q39</f>
        <v>401.71153846153902</v>
      </c>
    </row>
    <row r="41" spans="1:18" ht="15.75" thickBot="1" x14ac:dyDescent="0.3">
      <c r="A41" s="3" t="s">
        <v>2</v>
      </c>
      <c r="B41" s="21">
        <v>123.75</v>
      </c>
      <c r="D41" s="3" t="s">
        <v>22</v>
      </c>
      <c r="E41" s="4">
        <f>E39-E40</f>
        <v>-505.8402255639121</v>
      </c>
      <c r="F41" t="s">
        <v>23</v>
      </c>
      <c r="G41" s="22" t="s">
        <v>9</v>
      </c>
      <c r="H41" s="23">
        <v>507.5</v>
      </c>
      <c r="J41" s="22" t="s">
        <v>50</v>
      </c>
      <c r="K41" s="24">
        <v>687.5</v>
      </c>
      <c r="M41" s="48" t="s">
        <v>16</v>
      </c>
      <c r="N41" s="49">
        <v>78.333333333333329</v>
      </c>
      <c r="P41" s="3" t="s">
        <v>65</v>
      </c>
      <c r="Q41" s="4">
        <v>396</v>
      </c>
    </row>
    <row r="42" spans="1:18" ht="16.5" thickBot="1" x14ac:dyDescent="0.3">
      <c r="A42" s="3" t="s">
        <v>3</v>
      </c>
      <c r="B42" s="21">
        <v>200</v>
      </c>
      <c r="D42" s="22" t="s">
        <v>11</v>
      </c>
      <c r="E42" s="24">
        <v>0</v>
      </c>
      <c r="G42" s="38" t="s">
        <v>21</v>
      </c>
      <c r="H42" s="39">
        <v>27590.6875</v>
      </c>
      <c r="J42" s="38" t="s">
        <v>21</v>
      </c>
      <c r="K42" s="39">
        <v>26524</v>
      </c>
      <c r="M42" s="3" t="s">
        <v>79</v>
      </c>
      <c r="N42" s="4">
        <v>156.66666666666666</v>
      </c>
      <c r="P42" s="3" t="s">
        <v>10</v>
      </c>
      <c r="Q42" s="4">
        <v>0</v>
      </c>
    </row>
    <row r="43" spans="1:18" ht="16.5" thickBot="1" x14ac:dyDescent="0.3">
      <c r="A43" s="3" t="s">
        <v>4</v>
      </c>
      <c r="B43" s="21">
        <v>3250</v>
      </c>
      <c r="G43" s="36" t="s">
        <v>19</v>
      </c>
      <c r="H43" s="37">
        <f>SUM(H26:H41)</f>
        <v>26752.448308270676</v>
      </c>
      <c r="J43" s="36" t="s">
        <v>19</v>
      </c>
      <c r="K43" s="37">
        <f>SUM(K27:K41)</f>
        <v>25742.5</v>
      </c>
      <c r="M43" s="3" t="s">
        <v>35</v>
      </c>
      <c r="N43" s="4">
        <v>1576.6666666666665</v>
      </c>
      <c r="P43" s="22" t="s">
        <v>44</v>
      </c>
      <c r="Q43" s="23">
        <f>Q40-Q42-Q41</f>
        <v>5.7115384615390212</v>
      </c>
    </row>
    <row r="44" spans="1:18" ht="15.75" thickBot="1" x14ac:dyDescent="0.3">
      <c r="A44" s="3" t="s">
        <v>5</v>
      </c>
      <c r="B44" s="21">
        <v>4826.25</v>
      </c>
      <c r="D44" s="15" t="s">
        <v>25</v>
      </c>
      <c r="E44" s="16" t="s">
        <v>47</v>
      </c>
      <c r="G44" s="29" t="s">
        <v>22</v>
      </c>
      <c r="H44" s="30">
        <f>H42-H43</f>
        <v>838.23919172932438</v>
      </c>
      <c r="J44" s="29" t="s">
        <v>22</v>
      </c>
      <c r="K44" s="30">
        <f>K42-K43</f>
        <v>781.5</v>
      </c>
      <c r="M44" s="3" t="s">
        <v>2</v>
      </c>
      <c r="N44" s="4">
        <v>565</v>
      </c>
    </row>
    <row r="45" spans="1:18" ht="15.75" thickBot="1" x14ac:dyDescent="0.3">
      <c r="A45" s="3" t="s">
        <v>27</v>
      </c>
      <c r="B45" s="21">
        <v>2013.75</v>
      </c>
      <c r="D45" s="17" t="s">
        <v>17</v>
      </c>
      <c r="E45" s="18" t="s">
        <v>18</v>
      </c>
      <c r="G45" s="3" t="s">
        <v>11</v>
      </c>
      <c r="H45" s="21">
        <v>300</v>
      </c>
      <c r="I45" t="s">
        <v>24</v>
      </c>
      <c r="J45" s="3" t="s">
        <v>65</v>
      </c>
      <c r="K45" s="4">
        <v>275</v>
      </c>
      <c r="L45" t="s">
        <v>24</v>
      </c>
      <c r="M45" s="3" t="s">
        <v>58</v>
      </c>
      <c r="N45" s="4">
        <v>583.33333333333326</v>
      </c>
      <c r="P45" s="15" t="s">
        <v>25</v>
      </c>
      <c r="Q45" s="16" t="s">
        <v>104</v>
      </c>
    </row>
    <row r="46" spans="1:18" ht="15.75" thickBot="1" x14ac:dyDescent="0.3">
      <c r="A46" s="3" t="s">
        <v>6</v>
      </c>
      <c r="B46" s="4">
        <v>914.90384615384619</v>
      </c>
      <c r="D46" s="29" t="s">
        <v>12</v>
      </c>
      <c r="E46" s="26">
        <v>235</v>
      </c>
      <c r="G46" s="3" t="s">
        <v>10</v>
      </c>
      <c r="H46" s="21">
        <v>531.75</v>
      </c>
      <c r="I46" t="s">
        <v>23</v>
      </c>
      <c r="J46" s="3" t="s">
        <v>10</v>
      </c>
      <c r="K46" s="4">
        <v>500.5</v>
      </c>
      <c r="L46" t="s">
        <v>23</v>
      </c>
      <c r="M46" s="3" t="s">
        <v>80</v>
      </c>
      <c r="N46" s="4">
        <v>3045.0000000000005</v>
      </c>
      <c r="P46" s="45" t="s">
        <v>17</v>
      </c>
      <c r="Q46" s="46" t="s">
        <v>18</v>
      </c>
    </row>
    <row r="47" spans="1:18" ht="15.75" thickBot="1" x14ac:dyDescent="0.3">
      <c r="A47" s="7" t="s">
        <v>9</v>
      </c>
      <c r="B47" s="5">
        <v>687.5</v>
      </c>
      <c r="C47" t="s">
        <v>29</v>
      </c>
      <c r="D47" s="3" t="s">
        <v>13</v>
      </c>
      <c r="E47" s="21">
        <v>2655</v>
      </c>
      <c r="G47" s="22" t="s">
        <v>44</v>
      </c>
      <c r="H47" s="23">
        <f>H44-H45-H46</f>
        <v>6.489191729324375</v>
      </c>
      <c r="J47" s="22" t="s">
        <v>44</v>
      </c>
      <c r="K47" s="23">
        <f>K44-K46-K45</f>
        <v>6</v>
      </c>
      <c r="M47" s="3" t="s">
        <v>81</v>
      </c>
      <c r="N47" s="4">
        <v>5003.333333333333</v>
      </c>
      <c r="P47" s="48" t="s">
        <v>12</v>
      </c>
      <c r="Q47" s="49">
        <v>751.25</v>
      </c>
    </row>
    <row r="48" spans="1:18" ht="16.5" thickBot="1" x14ac:dyDescent="0.3">
      <c r="A48" s="27" t="s">
        <v>19</v>
      </c>
      <c r="B48" s="28">
        <f>SUM(B36:B47)</f>
        <v>23629.903846153848</v>
      </c>
      <c r="D48" s="3" t="s">
        <v>35</v>
      </c>
      <c r="E48" s="21">
        <v>6850</v>
      </c>
      <c r="M48" s="3" t="s">
        <v>82</v>
      </c>
      <c r="N48" s="4">
        <v>330</v>
      </c>
      <c r="P48" s="3" t="s">
        <v>96</v>
      </c>
      <c r="Q48" s="4">
        <v>250</v>
      </c>
    </row>
    <row r="49" spans="1:18" ht="16.5" thickBot="1" x14ac:dyDescent="0.3">
      <c r="A49" s="25" t="s">
        <v>21</v>
      </c>
      <c r="B49" s="26">
        <v>24049.125</v>
      </c>
      <c r="D49" s="3" t="s">
        <v>2</v>
      </c>
      <c r="E49" s="21">
        <v>4346.25</v>
      </c>
      <c r="G49" s="41" t="s">
        <v>25</v>
      </c>
      <c r="H49" s="42" t="s">
        <v>64</v>
      </c>
      <c r="J49" s="52" t="s">
        <v>25</v>
      </c>
      <c r="K49" s="53" t="s">
        <v>78</v>
      </c>
      <c r="M49" s="3" t="s">
        <v>83</v>
      </c>
      <c r="N49" s="4">
        <v>461.66666666666669</v>
      </c>
      <c r="P49" s="3" t="s">
        <v>52</v>
      </c>
      <c r="Q49" s="4">
        <v>6334.4360902255639</v>
      </c>
    </row>
    <row r="50" spans="1:18" ht="15.75" thickBot="1" x14ac:dyDescent="0.3">
      <c r="A50" s="3" t="s">
        <v>22</v>
      </c>
      <c r="B50" s="4">
        <f>B48-B49</f>
        <v>-419.22115384615245</v>
      </c>
      <c r="D50" s="3" t="s">
        <v>5</v>
      </c>
      <c r="E50" s="21">
        <v>5576.25</v>
      </c>
      <c r="G50" s="43" t="s">
        <v>17</v>
      </c>
      <c r="H50" s="44" t="s">
        <v>18</v>
      </c>
      <c r="J50" s="52" t="s">
        <v>17</v>
      </c>
      <c r="K50" s="53" t="s">
        <v>18</v>
      </c>
      <c r="L50" s="40"/>
      <c r="M50" s="3" t="s">
        <v>84</v>
      </c>
      <c r="N50" s="4">
        <v>4163.333333333333</v>
      </c>
      <c r="P50" s="3" t="s">
        <v>97</v>
      </c>
      <c r="Q50" s="4">
        <v>6093.8110902255639</v>
      </c>
    </row>
    <row r="51" spans="1:18" ht="15.75" thickBot="1" x14ac:dyDescent="0.3">
      <c r="A51" s="22" t="s">
        <v>11</v>
      </c>
      <c r="B51" s="24">
        <v>412.5</v>
      </c>
      <c r="D51" s="3" t="s">
        <v>27</v>
      </c>
      <c r="E51" s="21">
        <v>406.25</v>
      </c>
      <c r="G51" s="29" t="s">
        <v>62</v>
      </c>
      <c r="H51" s="30">
        <v>200</v>
      </c>
      <c r="J51" s="48" t="s">
        <v>72</v>
      </c>
      <c r="K51" s="56">
        <v>646.25</v>
      </c>
      <c r="L51" s="40"/>
      <c r="M51" s="3" t="s">
        <v>50</v>
      </c>
      <c r="N51" s="4">
        <v>499.99999999999994</v>
      </c>
      <c r="P51" s="3" t="s">
        <v>68</v>
      </c>
      <c r="Q51" s="4">
        <v>1113.75</v>
      </c>
    </row>
    <row r="52" spans="1:18" ht="15.75" thickBot="1" x14ac:dyDescent="0.3">
      <c r="D52" s="3" t="s">
        <v>6</v>
      </c>
      <c r="E52" s="21">
        <v>1428.75</v>
      </c>
      <c r="G52" s="3" t="s">
        <v>35</v>
      </c>
      <c r="H52" s="4">
        <v>4421.9360902255639</v>
      </c>
      <c r="I52" s="40"/>
      <c r="J52" s="3" t="s">
        <v>35</v>
      </c>
      <c r="K52" s="21">
        <v>2808.1860902255639</v>
      </c>
      <c r="L52" s="40"/>
      <c r="M52" s="22" t="s">
        <v>9</v>
      </c>
      <c r="N52" s="23">
        <v>156.66666666666666</v>
      </c>
      <c r="O52" t="s">
        <v>90</v>
      </c>
      <c r="P52" s="3" t="s">
        <v>69</v>
      </c>
      <c r="Q52" s="4">
        <v>405</v>
      </c>
    </row>
    <row r="53" spans="1:18" ht="15.75" x14ac:dyDescent="0.25">
      <c r="A53" s="15" t="s">
        <v>25</v>
      </c>
      <c r="B53" s="16" t="s">
        <v>71</v>
      </c>
      <c r="D53" s="3" t="s">
        <v>7</v>
      </c>
      <c r="E53" s="21">
        <v>123.75</v>
      </c>
      <c r="G53" s="3" t="s">
        <v>2</v>
      </c>
      <c r="H53" s="4">
        <v>2246.25</v>
      </c>
      <c r="I53" s="40"/>
      <c r="J53" s="3" t="s">
        <v>2</v>
      </c>
      <c r="K53" s="21">
        <v>2902.5</v>
      </c>
      <c r="L53" s="40"/>
      <c r="M53" s="38" t="s">
        <v>21</v>
      </c>
      <c r="N53" s="39">
        <v>16820</v>
      </c>
      <c r="P53" s="3" t="s">
        <v>80</v>
      </c>
      <c r="Q53" s="4">
        <v>315</v>
      </c>
    </row>
    <row r="54" spans="1:18" ht="16.5" thickBot="1" x14ac:dyDescent="0.3">
      <c r="A54" s="45" t="s">
        <v>17</v>
      </c>
      <c r="B54" s="46" t="s">
        <v>18</v>
      </c>
      <c r="D54" s="3" t="s">
        <v>8</v>
      </c>
      <c r="E54" s="21">
        <v>513.75</v>
      </c>
      <c r="G54" s="3" t="s">
        <v>6</v>
      </c>
      <c r="H54" s="4">
        <v>988.75</v>
      </c>
      <c r="I54" s="40"/>
      <c r="J54" s="3" t="s">
        <v>6</v>
      </c>
      <c r="K54" s="21">
        <v>220</v>
      </c>
      <c r="L54" s="40"/>
      <c r="M54" s="36" t="s">
        <v>19</v>
      </c>
      <c r="N54" s="37">
        <f>SUM(N41:N52)</f>
        <v>16620</v>
      </c>
      <c r="P54" s="3" t="s">
        <v>81</v>
      </c>
      <c r="Q54" s="4">
        <v>2678.75</v>
      </c>
    </row>
    <row r="55" spans="1:18" x14ac:dyDescent="0.25">
      <c r="A55" s="48" t="s">
        <v>12</v>
      </c>
      <c r="B55" s="49">
        <v>430</v>
      </c>
      <c r="D55" s="3" t="s">
        <v>37</v>
      </c>
      <c r="E55" s="21">
        <v>1040</v>
      </c>
      <c r="G55" s="3" t="s">
        <v>57</v>
      </c>
      <c r="H55" s="4">
        <v>2237.5</v>
      </c>
      <c r="I55" s="40"/>
      <c r="J55" s="3" t="s">
        <v>57</v>
      </c>
      <c r="K55" s="21">
        <v>504.375</v>
      </c>
      <c r="L55" s="40"/>
      <c r="M55" s="29" t="s">
        <v>22</v>
      </c>
      <c r="N55" s="30">
        <f>N53-N54</f>
        <v>200</v>
      </c>
      <c r="P55" s="3" t="s">
        <v>98</v>
      </c>
      <c r="Q55" s="4">
        <v>2879.7462406015038</v>
      </c>
    </row>
    <row r="56" spans="1:18" ht="15.75" thickBot="1" x14ac:dyDescent="0.3">
      <c r="A56" s="3" t="s">
        <v>13</v>
      </c>
      <c r="B56" s="4">
        <v>9443.75</v>
      </c>
      <c r="D56" s="7" t="s">
        <v>9</v>
      </c>
      <c r="E56" s="31">
        <v>1256.25</v>
      </c>
      <c r="F56" t="s">
        <v>46</v>
      </c>
      <c r="G56" s="3" t="s">
        <v>8</v>
      </c>
      <c r="H56" s="4">
        <v>2966.25</v>
      </c>
      <c r="I56" s="40"/>
      <c r="J56" s="3" t="s">
        <v>37</v>
      </c>
      <c r="K56" s="21">
        <v>673.75</v>
      </c>
      <c r="L56" s="40"/>
      <c r="M56" s="3" t="s">
        <v>65</v>
      </c>
      <c r="N56" s="4">
        <v>200</v>
      </c>
      <c r="P56" s="3" t="s">
        <v>91</v>
      </c>
      <c r="Q56" s="4">
        <v>3086.25</v>
      </c>
    </row>
    <row r="57" spans="1:18" ht="16.5" thickBot="1" x14ac:dyDescent="0.3">
      <c r="A57" s="3" t="s">
        <v>15</v>
      </c>
      <c r="B57" s="4">
        <v>430</v>
      </c>
      <c r="D57" s="8" t="s">
        <v>19</v>
      </c>
      <c r="E57" s="6">
        <f>SUM(E46:E56)</f>
        <v>24431.25</v>
      </c>
      <c r="G57" s="3" t="s">
        <v>58</v>
      </c>
      <c r="H57" s="4">
        <v>2330</v>
      </c>
      <c r="I57" s="40"/>
      <c r="J57" s="3" t="s">
        <v>58</v>
      </c>
      <c r="K57" s="21">
        <v>2371.25</v>
      </c>
      <c r="L57" s="40"/>
      <c r="M57" s="3" t="s">
        <v>10</v>
      </c>
      <c r="N57" s="4">
        <v>0</v>
      </c>
      <c r="P57" s="3" t="s">
        <v>50</v>
      </c>
      <c r="Q57" s="4">
        <v>687.5</v>
      </c>
    </row>
    <row r="58" spans="1:18" ht="16.5" thickBot="1" x14ac:dyDescent="0.3">
      <c r="A58" s="3" t="s">
        <v>16</v>
      </c>
      <c r="B58" s="4">
        <v>100</v>
      </c>
      <c r="D58" s="25" t="s">
        <v>21</v>
      </c>
      <c r="E58" s="34">
        <v>25697.75</v>
      </c>
      <c r="G58" s="3" t="s">
        <v>66</v>
      </c>
      <c r="H58" s="4">
        <v>3511.25</v>
      </c>
      <c r="I58" s="40"/>
      <c r="J58" s="3" t="s">
        <v>67</v>
      </c>
      <c r="K58" s="21">
        <v>3297.5</v>
      </c>
      <c r="L58" s="40"/>
      <c r="M58" s="22" t="s">
        <v>44</v>
      </c>
      <c r="N58" s="23">
        <f>N55-N57-N56</f>
        <v>0</v>
      </c>
      <c r="P58" s="22" t="s">
        <v>9</v>
      </c>
      <c r="Q58" s="23">
        <v>315</v>
      </c>
      <c r="R58" t="s">
        <v>102</v>
      </c>
    </row>
    <row r="59" spans="1:18" ht="16.5" thickBot="1" x14ac:dyDescent="0.3">
      <c r="A59" s="3" t="s">
        <v>0</v>
      </c>
      <c r="B59" s="4">
        <v>315</v>
      </c>
      <c r="D59" s="3" t="s">
        <v>22</v>
      </c>
      <c r="E59" s="4">
        <f>E57-E58</f>
        <v>-1266.5</v>
      </c>
      <c r="G59" s="3" t="s">
        <v>67</v>
      </c>
      <c r="H59" s="4">
        <v>5203.75</v>
      </c>
      <c r="I59" s="40"/>
      <c r="J59" s="3" t="s">
        <v>69</v>
      </c>
      <c r="K59" s="21">
        <v>286.25</v>
      </c>
      <c r="L59" s="40"/>
      <c r="P59" s="38" t="s">
        <v>21</v>
      </c>
      <c r="Q59" s="39">
        <v>25312.774038461539</v>
      </c>
    </row>
    <row r="60" spans="1:18" ht="16.5" thickBot="1" x14ac:dyDescent="0.3">
      <c r="A60" s="3" t="s">
        <v>2</v>
      </c>
      <c r="B60" s="4">
        <v>1361.25</v>
      </c>
      <c r="D60" s="3" t="s">
        <v>43</v>
      </c>
      <c r="E60" s="4">
        <v>460.5</v>
      </c>
      <c r="F60" t="s">
        <v>45</v>
      </c>
      <c r="G60" s="3" t="s">
        <v>68</v>
      </c>
      <c r="H60" s="4">
        <v>612.5</v>
      </c>
      <c r="I60" s="40"/>
      <c r="J60" s="3" t="s">
        <v>73</v>
      </c>
      <c r="K60" s="21">
        <v>3607.5</v>
      </c>
      <c r="L60" s="40"/>
      <c r="M60" s="15" t="s">
        <v>25</v>
      </c>
      <c r="N60" s="16" t="s">
        <v>94</v>
      </c>
      <c r="P60" s="36" t="s">
        <v>19</v>
      </c>
      <c r="Q60" s="37">
        <f>SUM(Q47:Q58)</f>
        <v>24910.493421052633</v>
      </c>
    </row>
    <row r="61" spans="1:18" ht="15.75" thickBot="1" x14ac:dyDescent="0.3">
      <c r="A61" s="3" t="s">
        <v>3</v>
      </c>
      <c r="B61" s="4">
        <v>570</v>
      </c>
      <c r="D61" s="3" t="s">
        <v>10</v>
      </c>
      <c r="E61" s="21">
        <v>500.5</v>
      </c>
      <c r="F61" t="s">
        <v>23</v>
      </c>
      <c r="G61" s="3" t="s">
        <v>50</v>
      </c>
      <c r="H61" s="4">
        <v>687.5</v>
      </c>
      <c r="J61" s="3" t="s">
        <v>74</v>
      </c>
      <c r="K61" s="21">
        <v>3723.75</v>
      </c>
      <c r="L61" s="40"/>
      <c r="M61" s="45" t="s">
        <v>17</v>
      </c>
      <c r="N61" s="46" t="s">
        <v>18</v>
      </c>
      <c r="P61" s="29" t="s">
        <v>22</v>
      </c>
      <c r="Q61" s="30">
        <f>Q59-Q60</f>
        <v>402.28061740890553</v>
      </c>
    </row>
    <row r="62" spans="1:18" ht="15.75" thickBot="1" x14ac:dyDescent="0.3">
      <c r="A62" s="3" t="s">
        <v>4</v>
      </c>
      <c r="B62" s="4">
        <v>2657.5</v>
      </c>
      <c r="D62" s="3" t="s">
        <v>11</v>
      </c>
      <c r="E62" s="21">
        <v>300</v>
      </c>
      <c r="F62" t="s">
        <v>24</v>
      </c>
      <c r="G62" s="7" t="s">
        <v>9</v>
      </c>
      <c r="H62" s="5">
        <v>235</v>
      </c>
      <c r="I62" t="s">
        <v>63</v>
      </c>
      <c r="J62" s="3" t="s">
        <v>75</v>
      </c>
      <c r="K62" s="21">
        <v>855</v>
      </c>
      <c r="M62" s="48" t="s">
        <v>35</v>
      </c>
      <c r="N62" s="49">
        <v>1810</v>
      </c>
      <c r="P62" s="3" t="s">
        <v>65</v>
      </c>
      <c r="Q62" s="4">
        <v>396</v>
      </c>
    </row>
    <row r="63" spans="1:18" ht="16.5" thickBot="1" x14ac:dyDescent="0.3">
      <c r="A63" s="3" t="s">
        <v>5</v>
      </c>
      <c r="B63" s="4">
        <v>5070</v>
      </c>
      <c r="D63" s="22" t="s">
        <v>44</v>
      </c>
      <c r="E63" s="23">
        <f>E59+E60+E61+E62</f>
        <v>-5.5</v>
      </c>
      <c r="G63" s="19" t="s">
        <v>21</v>
      </c>
      <c r="H63" s="35">
        <v>26372.875</v>
      </c>
      <c r="J63" s="22" t="s">
        <v>50</v>
      </c>
      <c r="K63" s="24">
        <v>687.5</v>
      </c>
      <c r="M63" s="3" t="s">
        <v>2</v>
      </c>
      <c r="N63" s="4">
        <v>130</v>
      </c>
      <c r="P63" s="3" t="s">
        <v>10</v>
      </c>
      <c r="Q63" s="4">
        <v>0</v>
      </c>
    </row>
    <row r="64" spans="1:18" ht="16.5" thickBot="1" x14ac:dyDescent="0.3">
      <c r="A64" s="3" t="s">
        <v>27</v>
      </c>
      <c r="B64" s="4">
        <v>766.25</v>
      </c>
      <c r="G64" s="36" t="s">
        <v>19</v>
      </c>
      <c r="H64" s="37">
        <f>SUM(H51:H62)</f>
        <v>25640.686090225565</v>
      </c>
      <c r="J64" s="38" t="s">
        <v>21</v>
      </c>
      <c r="K64" s="39">
        <v>23365</v>
      </c>
      <c r="M64" s="3" t="s">
        <v>58</v>
      </c>
      <c r="N64" s="4">
        <v>130</v>
      </c>
      <c r="P64" s="22" t="s">
        <v>44</v>
      </c>
      <c r="Q64" s="23">
        <f>Q61-Q63-Q62</f>
        <v>6.2806174089055276</v>
      </c>
    </row>
    <row r="65" spans="1:18" ht="16.5" thickBot="1" x14ac:dyDescent="0.3">
      <c r="A65" s="3" t="s">
        <v>6</v>
      </c>
      <c r="B65" s="4">
        <v>331.25</v>
      </c>
      <c r="D65" s="15" t="s">
        <v>25</v>
      </c>
      <c r="E65" s="16" t="s">
        <v>51</v>
      </c>
      <c r="G65" s="29" t="s">
        <v>22</v>
      </c>
      <c r="H65" s="30">
        <f>H63-H64</f>
        <v>732.18890977443516</v>
      </c>
      <c r="J65" s="36" t="s">
        <v>19</v>
      </c>
      <c r="K65" s="37">
        <f>SUM(K51:K63)</f>
        <v>22583.811090225565</v>
      </c>
      <c r="M65" s="3" t="s">
        <v>68</v>
      </c>
      <c r="N65" s="4">
        <v>872.5</v>
      </c>
    </row>
    <row r="66" spans="1:18" ht="15.75" thickBot="1" x14ac:dyDescent="0.3">
      <c r="A66" s="3" t="s">
        <v>57</v>
      </c>
      <c r="B66" s="4">
        <v>1775</v>
      </c>
      <c r="D66" s="17" t="s">
        <v>17</v>
      </c>
      <c r="E66" s="18" t="s">
        <v>18</v>
      </c>
      <c r="G66" s="3" t="s">
        <v>11</v>
      </c>
      <c r="H66" s="21">
        <v>225</v>
      </c>
      <c r="J66" s="29" t="s">
        <v>22</v>
      </c>
      <c r="K66" s="30">
        <f>K64-K65</f>
        <v>781.18890977443516</v>
      </c>
      <c r="M66" s="3" t="s">
        <v>69</v>
      </c>
      <c r="N66" s="4">
        <v>428.75</v>
      </c>
      <c r="P66" s="15" t="s">
        <v>25</v>
      </c>
      <c r="Q66" s="16" t="s">
        <v>105</v>
      </c>
    </row>
    <row r="67" spans="1:18" ht="15.75" thickBot="1" x14ac:dyDescent="0.3">
      <c r="A67" s="3" t="s">
        <v>8</v>
      </c>
      <c r="B67" s="4">
        <v>115</v>
      </c>
      <c r="D67" s="29" t="s">
        <v>13</v>
      </c>
      <c r="E67" s="26">
        <v>832.5</v>
      </c>
      <c r="G67" s="3" t="s">
        <v>10</v>
      </c>
      <c r="H67" s="21">
        <v>500.5</v>
      </c>
      <c r="I67" t="s">
        <v>23</v>
      </c>
      <c r="J67" s="3" t="s">
        <v>65</v>
      </c>
      <c r="K67" s="4">
        <v>275</v>
      </c>
      <c r="L67" t="s">
        <v>24</v>
      </c>
      <c r="M67" s="3" t="s">
        <v>74</v>
      </c>
      <c r="N67" s="4">
        <v>82.5</v>
      </c>
      <c r="P67" s="45" t="s">
        <v>17</v>
      </c>
      <c r="Q67" s="46" t="s">
        <v>18</v>
      </c>
    </row>
    <row r="68" spans="1:18" ht="15.75" thickBot="1" x14ac:dyDescent="0.3">
      <c r="A68" s="22" t="s">
        <v>50</v>
      </c>
      <c r="B68" s="23">
        <v>687.5</v>
      </c>
      <c r="D68" s="3" t="s">
        <v>15</v>
      </c>
      <c r="E68" s="21">
        <v>1330</v>
      </c>
      <c r="G68" s="22" t="s">
        <v>44</v>
      </c>
      <c r="H68" s="23">
        <f>H65-H66-H67</f>
        <v>6.6889097744351602</v>
      </c>
      <c r="J68" s="3" t="s">
        <v>10</v>
      </c>
      <c r="K68" s="4">
        <v>500.5</v>
      </c>
      <c r="L68" t="s">
        <v>23</v>
      </c>
      <c r="M68" s="3" t="s">
        <v>80</v>
      </c>
      <c r="N68" s="4">
        <v>4176.25</v>
      </c>
      <c r="P68" s="48" t="s">
        <v>12</v>
      </c>
      <c r="Q68" s="49">
        <v>470</v>
      </c>
    </row>
    <row r="69" spans="1:18" ht="16.5" thickBot="1" x14ac:dyDescent="0.3">
      <c r="A69" s="38" t="s">
        <v>21</v>
      </c>
      <c r="B69" s="39">
        <v>24740.5</v>
      </c>
      <c r="D69" s="3" t="s">
        <v>35</v>
      </c>
      <c r="E69" s="21">
        <v>7378.75</v>
      </c>
      <c r="J69" s="22" t="s">
        <v>44</v>
      </c>
      <c r="K69" s="23">
        <f>K66-K68-K67</f>
        <v>5.6889097744351602</v>
      </c>
      <c r="M69" s="3" t="s">
        <v>81</v>
      </c>
      <c r="N69" s="4">
        <v>4548.75</v>
      </c>
      <c r="P69" s="3" t="s">
        <v>15</v>
      </c>
      <c r="Q69" s="4">
        <v>105</v>
      </c>
    </row>
    <row r="70" spans="1:18" ht="16.5" thickBot="1" x14ac:dyDescent="0.3">
      <c r="A70" s="36" t="s">
        <v>19</v>
      </c>
      <c r="B70" s="37">
        <f>SUM(B55:B68)</f>
        <v>24052.5</v>
      </c>
      <c r="D70" s="3" t="s">
        <v>2</v>
      </c>
      <c r="E70" s="21">
        <v>5005</v>
      </c>
      <c r="G70" s="41" t="s">
        <v>25</v>
      </c>
      <c r="H70" s="42" t="s">
        <v>70</v>
      </c>
      <c r="M70" s="3" t="s">
        <v>82</v>
      </c>
      <c r="N70" s="4">
        <v>1421.25</v>
      </c>
      <c r="P70" s="3" t="s">
        <v>52</v>
      </c>
      <c r="Q70" s="4">
        <v>6391.25</v>
      </c>
    </row>
    <row r="71" spans="1:18" ht="15.75" thickBot="1" x14ac:dyDescent="0.3">
      <c r="A71" s="29" t="s">
        <v>22</v>
      </c>
      <c r="B71" s="30">
        <f>B69-B70</f>
        <v>688</v>
      </c>
      <c r="D71" s="3" t="s">
        <v>5</v>
      </c>
      <c r="E71" s="21">
        <v>1355</v>
      </c>
      <c r="G71" s="50" t="s">
        <v>17</v>
      </c>
      <c r="H71" s="51" t="s">
        <v>18</v>
      </c>
      <c r="J71" s="52" t="s">
        <v>25</v>
      </c>
      <c r="K71" s="53" t="s">
        <v>85</v>
      </c>
      <c r="M71" s="3" t="s">
        <v>83</v>
      </c>
      <c r="N71" s="4">
        <v>2038.75</v>
      </c>
      <c r="P71" s="3" t="s">
        <v>97</v>
      </c>
      <c r="Q71" s="4">
        <v>1871.8756093902348</v>
      </c>
    </row>
    <row r="72" spans="1:18" ht="15.75" thickBot="1" x14ac:dyDescent="0.3">
      <c r="A72" s="3" t="s">
        <v>11</v>
      </c>
      <c r="B72" s="21">
        <v>300</v>
      </c>
      <c r="D72" s="3" t="s">
        <v>27</v>
      </c>
      <c r="E72" s="21">
        <v>4537.5</v>
      </c>
      <c r="G72" s="48" t="s">
        <v>35</v>
      </c>
      <c r="H72" s="49">
        <v>2606.25</v>
      </c>
      <c r="I72" s="40"/>
      <c r="J72" s="54" t="s">
        <v>17</v>
      </c>
      <c r="K72" s="55" t="s">
        <v>18</v>
      </c>
      <c r="M72" s="3" t="s">
        <v>84</v>
      </c>
      <c r="N72" s="4">
        <v>4660</v>
      </c>
      <c r="P72" s="3" t="s">
        <v>68</v>
      </c>
      <c r="Q72" s="4">
        <v>2622.5</v>
      </c>
    </row>
    <row r="73" spans="1:18" x14ac:dyDescent="0.25">
      <c r="A73" s="3" t="s">
        <v>10</v>
      </c>
      <c r="B73" s="21">
        <v>531.75</v>
      </c>
      <c r="D73" s="3" t="s">
        <v>6</v>
      </c>
      <c r="E73" s="21">
        <v>2460</v>
      </c>
      <c r="G73" s="3" t="s">
        <v>2</v>
      </c>
      <c r="H73" s="4">
        <v>1910.6954887218044</v>
      </c>
      <c r="J73" s="29" t="s">
        <v>13</v>
      </c>
      <c r="K73" s="30">
        <v>293.75</v>
      </c>
      <c r="M73" s="3" t="s">
        <v>91</v>
      </c>
      <c r="N73" s="4">
        <v>1623.75</v>
      </c>
      <c r="P73" s="3" t="s">
        <v>69</v>
      </c>
      <c r="Q73" s="4">
        <v>1087.5</v>
      </c>
    </row>
    <row r="74" spans="1:18" ht="15.75" thickBot="1" x14ac:dyDescent="0.3">
      <c r="A74" s="22" t="s">
        <v>44</v>
      </c>
      <c r="B74" s="23">
        <f>B71-B72-B73</f>
        <v>-143.75</v>
      </c>
      <c r="D74" s="3" t="s">
        <v>8</v>
      </c>
      <c r="E74" s="21">
        <v>217.5</v>
      </c>
      <c r="G74" s="3" t="s">
        <v>6</v>
      </c>
      <c r="H74" s="4">
        <v>411.25</v>
      </c>
      <c r="J74" s="3" t="s">
        <v>60</v>
      </c>
      <c r="K74" s="4">
        <v>852.5</v>
      </c>
      <c r="M74" s="3" t="s">
        <v>92</v>
      </c>
      <c r="N74" s="4">
        <v>306.25</v>
      </c>
      <c r="P74" s="3" t="s">
        <v>98</v>
      </c>
      <c r="Q74" s="4">
        <v>3780</v>
      </c>
    </row>
    <row r="75" spans="1:18" ht="15.75" thickBot="1" x14ac:dyDescent="0.3">
      <c r="B75" s="40"/>
      <c r="D75" s="3" t="s">
        <v>37</v>
      </c>
      <c r="E75" s="21">
        <v>787.5</v>
      </c>
      <c r="G75" s="3" t="s">
        <v>57</v>
      </c>
      <c r="H75" s="4">
        <v>3275</v>
      </c>
      <c r="J75" s="3" t="s">
        <v>35</v>
      </c>
      <c r="K75" s="4">
        <v>5393.75</v>
      </c>
      <c r="M75" s="22" t="s">
        <v>93</v>
      </c>
      <c r="N75" s="23">
        <v>357.5</v>
      </c>
      <c r="P75" s="3" t="s">
        <v>91</v>
      </c>
      <c r="Q75" s="4">
        <v>2135.3131679841313</v>
      </c>
    </row>
    <row r="76" spans="1:18" ht="16.5" thickBot="1" x14ac:dyDescent="0.3">
      <c r="A76" s="13" t="s">
        <v>25</v>
      </c>
      <c r="B76" s="14" t="s">
        <v>20</v>
      </c>
      <c r="D76" s="3" t="s">
        <v>48</v>
      </c>
      <c r="E76" s="21">
        <v>1402.5</v>
      </c>
      <c r="G76" s="3" t="s">
        <v>8</v>
      </c>
      <c r="H76" s="4">
        <v>550</v>
      </c>
      <c r="I76" s="40"/>
      <c r="J76" s="3" t="s">
        <v>2</v>
      </c>
      <c r="K76" s="4">
        <v>2988.75</v>
      </c>
      <c r="M76" s="38" t="s">
        <v>21</v>
      </c>
      <c r="N76" s="39">
        <v>22866</v>
      </c>
      <c r="P76" s="3" t="s">
        <v>92</v>
      </c>
      <c r="Q76" s="4">
        <v>797.5</v>
      </c>
    </row>
    <row r="77" spans="1:18" ht="16.5" thickBot="1" x14ac:dyDescent="0.3">
      <c r="A77" s="11" t="s">
        <v>17</v>
      </c>
      <c r="B77" s="12" t="s">
        <v>18</v>
      </c>
      <c r="D77" s="3" t="s">
        <v>49</v>
      </c>
      <c r="E77" s="21">
        <v>125</v>
      </c>
      <c r="G77" s="3" t="s">
        <v>58</v>
      </c>
      <c r="H77" s="4">
        <v>1645</v>
      </c>
      <c r="J77" s="3" t="s">
        <v>57</v>
      </c>
      <c r="K77" s="4">
        <v>270</v>
      </c>
      <c r="M77" s="36" t="s">
        <v>19</v>
      </c>
      <c r="N77" s="37">
        <f>SUM(N62:N75)</f>
        <v>22586.25</v>
      </c>
      <c r="P77" s="3" t="s">
        <v>50</v>
      </c>
      <c r="Q77" s="4">
        <v>500</v>
      </c>
    </row>
    <row r="78" spans="1:18" ht="15.75" thickBot="1" x14ac:dyDescent="0.3">
      <c r="A78" s="3" t="s">
        <v>12</v>
      </c>
      <c r="B78" s="4">
        <v>470</v>
      </c>
      <c r="D78" s="7" t="s">
        <v>50</v>
      </c>
      <c r="E78" s="31">
        <v>500</v>
      </c>
      <c r="G78" s="3" t="s">
        <v>66</v>
      </c>
      <c r="H78" s="4">
        <v>3441.25</v>
      </c>
      <c r="I78" s="40"/>
      <c r="J78" s="3" t="s">
        <v>37</v>
      </c>
      <c r="K78" s="4">
        <v>1245</v>
      </c>
      <c r="M78" s="29" t="s">
        <v>22</v>
      </c>
      <c r="N78" s="30">
        <f>N76-N77</f>
        <v>279.75</v>
      </c>
      <c r="P78" s="7" t="s">
        <v>9</v>
      </c>
      <c r="Q78" s="5">
        <v>315</v>
      </c>
      <c r="R78" t="s">
        <v>102</v>
      </c>
    </row>
    <row r="79" spans="1:18" ht="15.75" x14ac:dyDescent="0.25">
      <c r="A79" s="3" t="s">
        <v>13</v>
      </c>
      <c r="B79" s="4">
        <v>7108.125</v>
      </c>
      <c r="D79" s="19" t="s">
        <v>21</v>
      </c>
      <c r="E79" s="35">
        <v>26769</v>
      </c>
      <c r="G79" s="3" t="s">
        <v>67</v>
      </c>
      <c r="H79" s="4">
        <v>7092.5</v>
      </c>
      <c r="I79" s="40"/>
      <c r="J79" s="3" t="s">
        <v>58</v>
      </c>
      <c r="K79" s="4">
        <v>2181.25</v>
      </c>
      <c r="M79" s="3" t="s">
        <v>65</v>
      </c>
      <c r="N79" s="4">
        <v>275</v>
      </c>
      <c r="P79" s="19" t="s">
        <v>21</v>
      </c>
      <c r="Q79" s="35">
        <v>20075.9375</v>
      </c>
    </row>
    <row r="80" spans="1:18" ht="16.5" thickBot="1" x14ac:dyDescent="0.3">
      <c r="A80" s="3" t="s">
        <v>14</v>
      </c>
      <c r="B80" s="4">
        <v>75</v>
      </c>
      <c r="D80" s="36" t="s">
        <v>19</v>
      </c>
      <c r="E80" s="37">
        <f>SUM(E67:E78)</f>
        <v>25931.25</v>
      </c>
      <c r="G80" s="3" t="s">
        <v>68</v>
      </c>
      <c r="H80" s="4">
        <v>1075</v>
      </c>
      <c r="I80" s="40"/>
      <c r="J80" s="3" t="s">
        <v>67</v>
      </c>
      <c r="K80" s="4">
        <v>225</v>
      </c>
      <c r="M80" s="3" t="s">
        <v>10</v>
      </c>
      <c r="N80" s="4">
        <v>0</v>
      </c>
      <c r="P80" s="57" t="s">
        <v>19</v>
      </c>
      <c r="Q80" s="58">
        <f>SUM(Q68:Q78)</f>
        <v>20075.938777374366</v>
      </c>
    </row>
    <row r="81" spans="1:18" ht="15.75" thickBot="1" x14ac:dyDescent="0.3">
      <c r="A81" s="3" t="s">
        <v>15</v>
      </c>
      <c r="B81" s="4">
        <v>440</v>
      </c>
      <c r="D81" s="29" t="s">
        <v>22</v>
      </c>
      <c r="E81" s="30">
        <f>E79-E80</f>
        <v>837.75</v>
      </c>
      <c r="G81" s="3" t="s">
        <v>69</v>
      </c>
      <c r="H81" s="4">
        <v>93.75</v>
      </c>
      <c r="I81" s="40"/>
      <c r="J81" s="3" t="s">
        <v>69</v>
      </c>
      <c r="K81" s="4">
        <v>37.5</v>
      </c>
      <c r="M81" s="22" t="s">
        <v>44</v>
      </c>
      <c r="N81" s="23">
        <f>N78-N80-N79</f>
        <v>4.75</v>
      </c>
      <c r="P81" s="22" t="s">
        <v>44</v>
      </c>
      <c r="Q81" s="23">
        <f>Q79-Q80</f>
        <v>-1.277374365599826E-3</v>
      </c>
    </row>
    <row r="82" spans="1:18" ht="15.75" thickBot="1" x14ac:dyDescent="0.3">
      <c r="A82" s="3" t="s">
        <v>16</v>
      </c>
      <c r="B82" s="4">
        <v>150</v>
      </c>
      <c r="D82" s="3" t="s">
        <v>11</v>
      </c>
      <c r="E82" s="21">
        <v>300</v>
      </c>
      <c r="F82" t="s">
        <v>24</v>
      </c>
      <c r="G82" s="22" t="s">
        <v>50</v>
      </c>
      <c r="H82" s="23">
        <v>500</v>
      </c>
      <c r="J82" s="3" t="s">
        <v>74</v>
      </c>
      <c r="K82" s="4">
        <v>3660</v>
      </c>
    </row>
    <row r="83" spans="1:18" ht="16.5" thickBot="1" x14ac:dyDescent="0.3">
      <c r="A83" s="3" t="s">
        <v>0</v>
      </c>
      <c r="B83" s="4">
        <v>100</v>
      </c>
      <c r="D83" s="3" t="s">
        <v>10</v>
      </c>
      <c r="E83" s="21">
        <v>531.75</v>
      </c>
      <c r="F83" t="s">
        <v>23</v>
      </c>
      <c r="G83" s="38" t="s">
        <v>21</v>
      </c>
      <c r="H83" s="39">
        <v>23300.625</v>
      </c>
      <c r="J83" s="3" t="s">
        <v>80</v>
      </c>
      <c r="K83" s="4">
        <v>2893.75</v>
      </c>
      <c r="M83" s="52" t="s">
        <v>25</v>
      </c>
      <c r="N83" s="53" t="s">
        <v>100</v>
      </c>
      <c r="P83" s="15" t="s">
        <v>25</v>
      </c>
      <c r="Q83" s="16" t="s">
        <v>106</v>
      </c>
    </row>
    <row r="84" spans="1:18" ht="16.5" thickBot="1" x14ac:dyDescent="0.3">
      <c r="A84" s="3" t="s">
        <v>1</v>
      </c>
      <c r="B84" s="4">
        <v>122.5</v>
      </c>
      <c r="D84" s="22" t="s">
        <v>44</v>
      </c>
      <c r="E84" s="23">
        <f>E81-E82-E83</f>
        <v>6</v>
      </c>
      <c r="G84" s="36" t="s">
        <v>19</v>
      </c>
      <c r="H84" s="37">
        <f>SUM(H72:H82)</f>
        <v>22600.695488721805</v>
      </c>
      <c r="J84" s="3" t="s">
        <v>81</v>
      </c>
      <c r="K84" s="4">
        <v>222.5</v>
      </c>
      <c r="M84" s="52" t="s">
        <v>17</v>
      </c>
      <c r="N84" s="53" t="s">
        <v>18</v>
      </c>
      <c r="P84" s="45" t="s">
        <v>17</v>
      </c>
      <c r="Q84" s="46" t="s">
        <v>18</v>
      </c>
    </row>
    <row r="85" spans="1:18" x14ac:dyDescent="0.25">
      <c r="A85" s="3" t="s">
        <v>2</v>
      </c>
      <c r="B85" s="4">
        <v>990</v>
      </c>
      <c r="G85" s="29" t="s">
        <v>22</v>
      </c>
      <c r="H85" s="30">
        <f>H83-H84</f>
        <v>699.9295112781947</v>
      </c>
      <c r="J85" s="3" t="s">
        <v>82</v>
      </c>
      <c r="K85" s="4">
        <v>65</v>
      </c>
      <c r="M85" s="48" t="s">
        <v>96</v>
      </c>
      <c r="N85" s="49">
        <v>1570</v>
      </c>
      <c r="P85" s="48" t="s">
        <v>12</v>
      </c>
      <c r="Q85" s="49">
        <v>751.25</v>
      </c>
    </row>
    <row r="86" spans="1:18" x14ac:dyDescent="0.25">
      <c r="A86" s="3" t="s">
        <v>3</v>
      </c>
      <c r="B86" s="4">
        <v>300</v>
      </c>
      <c r="G86" s="3" t="s">
        <v>11</v>
      </c>
      <c r="H86" s="21">
        <v>0</v>
      </c>
      <c r="J86" s="3" t="s">
        <v>50</v>
      </c>
      <c r="K86" s="4">
        <v>817.5</v>
      </c>
      <c r="M86" s="3" t="s">
        <v>2</v>
      </c>
      <c r="N86" s="4">
        <v>117.5</v>
      </c>
      <c r="P86" s="3" t="s">
        <v>2</v>
      </c>
      <c r="Q86" s="4">
        <v>547.5</v>
      </c>
    </row>
    <row r="87" spans="1:18" ht="15.75" thickBot="1" x14ac:dyDescent="0.3">
      <c r="A87" s="3" t="s">
        <v>4</v>
      </c>
      <c r="B87" s="4">
        <v>1697.5</v>
      </c>
      <c r="G87" s="3" t="s">
        <v>65</v>
      </c>
      <c r="H87" s="21">
        <v>200</v>
      </c>
      <c r="J87" s="22" t="s">
        <v>9</v>
      </c>
      <c r="K87" s="23">
        <v>352.5</v>
      </c>
      <c r="L87" t="s">
        <v>86</v>
      </c>
      <c r="M87" s="3" t="s">
        <v>52</v>
      </c>
      <c r="N87" s="4">
        <v>1557.5</v>
      </c>
      <c r="P87" s="3" t="s">
        <v>52</v>
      </c>
      <c r="Q87" s="4">
        <v>6451.25</v>
      </c>
    </row>
    <row r="88" spans="1:18" ht="15.75" x14ac:dyDescent="0.25">
      <c r="A88" s="3" t="s">
        <v>5</v>
      </c>
      <c r="B88" s="4">
        <v>2465</v>
      </c>
      <c r="G88" s="3" t="s">
        <v>10</v>
      </c>
      <c r="H88" s="21">
        <v>500</v>
      </c>
      <c r="J88" s="38" t="s">
        <v>21</v>
      </c>
      <c r="K88" s="39">
        <v>21780</v>
      </c>
      <c r="M88" s="3" t="s">
        <v>97</v>
      </c>
      <c r="N88" s="4">
        <v>3031.25</v>
      </c>
      <c r="P88" s="3" t="s">
        <v>97</v>
      </c>
      <c r="Q88" s="4">
        <v>442.5</v>
      </c>
    </row>
    <row r="89" spans="1:18" ht="16.5" thickBot="1" x14ac:dyDescent="0.3">
      <c r="A89" s="3" t="s">
        <v>6</v>
      </c>
      <c r="B89" s="4">
        <v>200</v>
      </c>
      <c r="G89" s="22" t="s">
        <v>44</v>
      </c>
      <c r="H89" s="23">
        <f>H85-H86-H88-H87</f>
        <v>-7.0488721805304522E-2</v>
      </c>
      <c r="J89" s="36" t="s">
        <v>19</v>
      </c>
      <c r="K89" s="37">
        <f>SUM(K73:K87)</f>
        <v>21498.75</v>
      </c>
      <c r="M89" s="3" t="s">
        <v>68</v>
      </c>
      <c r="N89" s="4">
        <v>770</v>
      </c>
      <c r="P89" s="3" t="s">
        <v>68</v>
      </c>
      <c r="Q89" s="4">
        <v>3533.7350074962519</v>
      </c>
    </row>
    <row r="90" spans="1:18" x14ac:dyDescent="0.25">
      <c r="A90" s="3" t="s">
        <v>7</v>
      </c>
      <c r="B90" s="4">
        <v>1214</v>
      </c>
      <c r="J90" s="29" t="s">
        <v>22</v>
      </c>
      <c r="K90" s="30">
        <f>K88-K89</f>
        <v>281.25</v>
      </c>
      <c r="M90" s="3" t="s">
        <v>74</v>
      </c>
      <c r="N90" s="4">
        <v>176.25</v>
      </c>
      <c r="P90" s="3" t="s">
        <v>69</v>
      </c>
      <c r="Q90" s="4">
        <v>1410</v>
      </c>
    </row>
    <row r="91" spans="1:18" x14ac:dyDescent="0.25">
      <c r="A91" s="3" t="s">
        <v>8</v>
      </c>
      <c r="B91" s="4">
        <v>2190</v>
      </c>
      <c r="J91" s="3" t="s">
        <v>65</v>
      </c>
      <c r="K91" s="4">
        <v>275</v>
      </c>
      <c r="M91" s="3" t="s">
        <v>80</v>
      </c>
      <c r="N91" s="4">
        <v>3770</v>
      </c>
      <c r="P91" s="3" t="s">
        <v>98</v>
      </c>
      <c r="Q91" s="4">
        <v>2614.3609445277361</v>
      </c>
    </row>
    <row r="92" spans="1:18" ht="15.75" thickBot="1" x14ac:dyDescent="0.3">
      <c r="A92" s="7" t="s">
        <v>9</v>
      </c>
      <c r="B92" s="5">
        <v>500</v>
      </c>
      <c r="J92" s="3" t="s">
        <v>10</v>
      </c>
      <c r="K92" s="4">
        <v>0</v>
      </c>
      <c r="M92" s="3" t="s">
        <v>81</v>
      </c>
      <c r="N92" s="4">
        <v>2275</v>
      </c>
      <c r="P92" s="3" t="s">
        <v>91</v>
      </c>
      <c r="Q92" s="4">
        <v>5143.75</v>
      </c>
    </row>
    <row r="93" spans="1:18" ht="16.5" thickBot="1" x14ac:dyDescent="0.3">
      <c r="A93" s="8" t="s">
        <v>19</v>
      </c>
      <c r="B93" s="6">
        <f>SUM(B78:B92)</f>
        <v>18022.125</v>
      </c>
      <c r="C93" t="s">
        <v>26</v>
      </c>
      <c r="J93" s="22" t="s">
        <v>44</v>
      </c>
      <c r="K93" s="23">
        <f>K90-K92-K91</f>
        <v>6.25</v>
      </c>
      <c r="M93" s="3" t="s">
        <v>98</v>
      </c>
      <c r="N93" s="4">
        <v>3550</v>
      </c>
      <c r="P93" s="3" t="s">
        <v>99</v>
      </c>
      <c r="Q93" s="4">
        <v>45</v>
      </c>
    </row>
    <row r="94" spans="1:18" ht="15.75" x14ac:dyDescent="0.25">
      <c r="A94" s="9" t="s">
        <v>21</v>
      </c>
      <c r="B94" s="10">
        <v>18822.125</v>
      </c>
      <c r="M94" s="3" t="s">
        <v>83</v>
      </c>
      <c r="N94" s="4">
        <v>855</v>
      </c>
      <c r="P94" s="3" t="s">
        <v>50</v>
      </c>
      <c r="Q94" s="4">
        <v>687.5</v>
      </c>
    </row>
    <row r="95" spans="1:18" ht="15.75" thickBot="1" x14ac:dyDescent="0.3">
      <c r="A95" s="2" t="s">
        <v>22</v>
      </c>
      <c r="B95" s="1">
        <f>B93-B94</f>
        <v>-800</v>
      </c>
      <c r="M95" s="3" t="s">
        <v>84</v>
      </c>
      <c r="N95" s="4">
        <v>3846.25</v>
      </c>
      <c r="P95" s="22" t="s">
        <v>9</v>
      </c>
      <c r="Q95" s="23">
        <v>315</v>
      </c>
      <c r="R95" t="s">
        <v>102</v>
      </c>
    </row>
    <row r="96" spans="1:18" ht="15.75" x14ac:dyDescent="0.25">
      <c r="A96" s="2" t="s">
        <v>10</v>
      </c>
      <c r="B96" s="2">
        <v>500</v>
      </c>
      <c r="M96" s="3" t="s">
        <v>91</v>
      </c>
      <c r="N96" s="4">
        <v>1443.1766917293232</v>
      </c>
      <c r="P96" s="38" t="s">
        <v>21</v>
      </c>
      <c r="Q96" s="39">
        <v>21947.125</v>
      </c>
    </row>
    <row r="97" spans="1:17" ht="15.75" x14ac:dyDescent="0.25">
      <c r="A97" s="2" t="s">
        <v>11</v>
      </c>
      <c r="B97" s="2">
        <v>300</v>
      </c>
      <c r="C97" t="s">
        <v>23</v>
      </c>
      <c r="M97" s="3" t="s">
        <v>92</v>
      </c>
      <c r="N97" s="4">
        <v>787.5</v>
      </c>
      <c r="P97" s="57" t="s">
        <v>19</v>
      </c>
      <c r="Q97" s="58">
        <f>SUM(Q85:Q95)</f>
        <v>21941.845952023989</v>
      </c>
    </row>
    <row r="98" spans="1:17" ht="15.75" thickBot="1" x14ac:dyDescent="0.3">
      <c r="C98" t="s">
        <v>24</v>
      </c>
      <c r="M98" s="22" t="s">
        <v>50</v>
      </c>
      <c r="N98" s="23">
        <v>687.5</v>
      </c>
      <c r="P98" s="22" t="s">
        <v>44</v>
      </c>
      <c r="Q98" s="23">
        <f>Q96-Q97</f>
        <v>5.2790479760114977</v>
      </c>
    </row>
    <row r="99" spans="1:17" ht="15.75" x14ac:dyDescent="0.25">
      <c r="M99" s="38" t="s">
        <v>21</v>
      </c>
      <c r="N99" s="39">
        <v>24839.586538461539</v>
      </c>
    </row>
    <row r="100" spans="1:17" ht="16.5" thickBot="1" x14ac:dyDescent="0.3">
      <c r="M100" s="36" t="s">
        <v>19</v>
      </c>
      <c r="N100" s="37">
        <f>SUM(N85:N98)</f>
        <v>24436.926691729324</v>
      </c>
    </row>
    <row r="101" spans="1:17" x14ac:dyDescent="0.25">
      <c r="M101" s="29" t="s">
        <v>22</v>
      </c>
      <c r="N101" s="30">
        <f>N99-N100</f>
        <v>402.65984673221465</v>
      </c>
    </row>
    <row r="102" spans="1:17" x14ac:dyDescent="0.25">
      <c r="M102" s="3" t="s">
        <v>65</v>
      </c>
      <c r="N102" s="4">
        <v>396</v>
      </c>
    </row>
    <row r="103" spans="1:17" x14ac:dyDescent="0.25">
      <c r="M103" s="3" t="s">
        <v>10</v>
      </c>
      <c r="N103" s="4">
        <v>0</v>
      </c>
    </row>
    <row r="104" spans="1:17" ht="15.75" thickBot="1" x14ac:dyDescent="0.3">
      <c r="M104" s="22" t="s">
        <v>44</v>
      </c>
      <c r="N104" s="23">
        <f>N101-N103-N102</f>
        <v>6.6598467322146462</v>
      </c>
    </row>
  </sheetData>
  <pageMargins left="0.25" right="0.25" top="0.75" bottom="0.75" header="0.3" footer="0.3"/>
  <pageSetup paperSize="9" scale="2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6823-E3F9-43F9-830D-1B212E7865BA}">
  <sheetPr>
    <pageSetUpPr fitToPage="1"/>
  </sheetPr>
  <dimension ref="A1:L183"/>
  <sheetViews>
    <sheetView tabSelected="1" topLeftCell="A158" zoomScale="115" zoomScaleNormal="115" workbookViewId="0">
      <selection activeCell="F172" sqref="F172"/>
    </sheetView>
  </sheetViews>
  <sheetFormatPr defaultRowHeight="15" x14ac:dyDescent="0.25"/>
  <cols>
    <col min="1" max="1" width="37.7109375" bestFit="1" customWidth="1"/>
    <col min="2" max="2" width="11" bestFit="1" customWidth="1"/>
    <col min="3" max="3" width="10.5703125" style="60" bestFit="1" customWidth="1"/>
    <col min="4" max="4" width="36.5703125" customWidth="1"/>
    <col min="5" max="5" width="11" bestFit="1" customWidth="1"/>
    <col min="6" max="6" width="10.5703125" style="60" bestFit="1" customWidth="1"/>
    <col min="7" max="7" width="37.7109375" bestFit="1" customWidth="1"/>
    <col min="8" max="8" width="11" bestFit="1" customWidth="1"/>
    <col min="9" max="9" width="10.5703125" style="60" bestFit="1" customWidth="1"/>
    <col min="10" max="10" width="37.7109375" bestFit="1" customWidth="1"/>
    <col min="11" max="11" width="11" bestFit="1" customWidth="1"/>
    <col min="12" max="12" width="10.5703125" bestFit="1" customWidth="1"/>
  </cols>
  <sheetData>
    <row r="1" spans="1:12" x14ac:dyDescent="0.25">
      <c r="A1" s="15" t="s">
        <v>25</v>
      </c>
      <c r="B1" s="16" t="s">
        <v>114</v>
      </c>
      <c r="D1" s="15" t="s">
        <v>25</v>
      </c>
      <c r="E1" s="16" t="s">
        <v>115</v>
      </c>
      <c r="G1" s="15" t="s">
        <v>25</v>
      </c>
      <c r="H1" s="16" t="s">
        <v>116</v>
      </c>
      <c r="J1" s="15" t="s">
        <v>25</v>
      </c>
      <c r="K1" s="16" t="s">
        <v>117</v>
      </c>
    </row>
    <row r="2" spans="1:12" ht="15.75" thickBot="1" x14ac:dyDescent="0.3">
      <c r="A2" s="45" t="s">
        <v>17</v>
      </c>
      <c r="B2" s="46" t="s">
        <v>18</v>
      </c>
      <c r="D2" s="45" t="s">
        <v>17</v>
      </c>
      <c r="E2" s="46" t="s">
        <v>18</v>
      </c>
      <c r="G2" s="45" t="s">
        <v>17</v>
      </c>
      <c r="H2" s="46" t="s">
        <v>18</v>
      </c>
      <c r="J2" s="45" t="s">
        <v>17</v>
      </c>
      <c r="K2" s="46" t="s">
        <v>18</v>
      </c>
    </row>
    <row r="3" spans="1:12" x14ac:dyDescent="0.25">
      <c r="A3" s="48" t="s">
        <v>12</v>
      </c>
      <c r="B3" s="49">
        <v>751.25</v>
      </c>
      <c r="D3" s="48" t="s">
        <v>12</v>
      </c>
      <c r="E3" s="49">
        <v>646.25</v>
      </c>
      <c r="G3" s="48" t="s">
        <v>60</v>
      </c>
      <c r="H3" s="49">
        <v>97.5</v>
      </c>
      <c r="J3" s="48" t="s">
        <v>12</v>
      </c>
      <c r="K3" s="49">
        <v>751.25</v>
      </c>
    </row>
    <row r="4" spans="1:12" x14ac:dyDescent="0.25">
      <c r="A4" s="3" t="s">
        <v>96</v>
      </c>
      <c r="B4" s="4">
        <v>1365</v>
      </c>
      <c r="D4" s="3" t="s">
        <v>96</v>
      </c>
      <c r="E4" s="4">
        <v>3963.75</v>
      </c>
      <c r="G4" s="3" t="s">
        <v>96</v>
      </c>
      <c r="H4" s="4">
        <v>731.25</v>
      </c>
      <c r="J4" s="3" t="s">
        <v>60</v>
      </c>
      <c r="K4" s="4">
        <v>720</v>
      </c>
    </row>
    <row r="5" spans="1:12" x14ac:dyDescent="0.25">
      <c r="A5" s="3" t="s">
        <v>2</v>
      </c>
      <c r="B5" s="4">
        <v>897.5</v>
      </c>
      <c r="D5" s="3" t="s">
        <v>2</v>
      </c>
      <c r="E5" s="4">
        <v>2884.3759375937593</v>
      </c>
      <c r="G5" s="3" t="s">
        <v>2</v>
      </c>
      <c r="H5" s="4">
        <v>5182.5</v>
      </c>
      <c r="J5" s="3" t="s">
        <v>2</v>
      </c>
      <c r="K5" s="4">
        <v>3529.380157539385</v>
      </c>
    </row>
    <row r="6" spans="1:12" x14ac:dyDescent="0.25">
      <c r="A6" s="3" t="s">
        <v>52</v>
      </c>
      <c r="B6" s="4">
        <v>2246.25</v>
      </c>
      <c r="D6" s="3" t="s">
        <v>52</v>
      </c>
      <c r="E6" s="4">
        <v>2092.5</v>
      </c>
      <c r="G6" s="3" t="s">
        <v>97</v>
      </c>
      <c r="H6" s="4">
        <v>4045</v>
      </c>
      <c r="J6" s="3" t="s">
        <v>97</v>
      </c>
      <c r="K6" s="4">
        <v>3111.25</v>
      </c>
    </row>
    <row r="7" spans="1:12" x14ac:dyDescent="0.25">
      <c r="A7" s="3" t="s">
        <v>97</v>
      </c>
      <c r="B7" s="4">
        <v>365</v>
      </c>
      <c r="D7" s="3" t="s">
        <v>97</v>
      </c>
      <c r="E7" s="4">
        <v>1157.5</v>
      </c>
      <c r="G7" s="3" t="s">
        <v>69</v>
      </c>
      <c r="H7" s="4">
        <v>655</v>
      </c>
      <c r="J7" s="3" t="s">
        <v>69</v>
      </c>
      <c r="K7" s="4">
        <v>457.5</v>
      </c>
    </row>
    <row r="8" spans="1:12" x14ac:dyDescent="0.25">
      <c r="A8" s="3" t="s">
        <v>68</v>
      </c>
      <c r="B8" s="4">
        <v>120</v>
      </c>
      <c r="D8" s="3" t="s">
        <v>69</v>
      </c>
      <c r="E8" s="4">
        <v>1751.25</v>
      </c>
      <c r="G8" s="3" t="s">
        <v>98</v>
      </c>
      <c r="H8" s="4">
        <v>1641.25</v>
      </c>
      <c r="J8" s="3" t="s">
        <v>98</v>
      </c>
      <c r="K8" s="4">
        <v>2708.75</v>
      </c>
    </row>
    <row r="9" spans="1:12" x14ac:dyDescent="0.25">
      <c r="A9" s="3" t="s">
        <v>69</v>
      </c>
      <c r="B9" s="4">
        <v>3046.25</v>
      </c>
      <c r="D9" s="3" t="s">
        <v>98</v>
      </c>
      <c r="E9" s="4">
        <v>2061.25</v>
      </c>
      <c r="G9" s="3" t="s">
        <v>91</v>
      </c>
      <c r="H9" s="4">
        <v>2390</v>
      </c>
      <c r="J9" s="3" t="s">
        <v>91</v>
      </c>
      <c r="K9" s="4">
        <v>1860</v>
      </c>
    </row>
    <row r="10" spans="1:12" x14ac:dyDescent="0.25">
      <c r="A10" s="3" t="s">
        <v>98</v>
      </c>
      <c r="B10" s="4">
        <v>1101.25</v>
      </c>
      <c r="D10" s="3" t="s">
        <v>91</v>
      </c>
      <c r="E10" s="4">
        <v>2103.75</v>
      </c>
      <c r="G10" s="3" t="s">
        <v>99</v>
      </c>
      <c r="H10" s="4">
        <v>1526.25</v>
      </c>
      <c r="J10" s="3" t="s">
        <v>93</v>
      </c>
      <c r="K10" s="4">
        <v>172.5</v>
      </c>
    </row>
    <row r="11" spans="1:12" x14ac:dyDescent="0.25">
      <c r="A11" s="3" t="s">
        <v>91</v>
      </c>
      <c r="B11" s="4">
        <v>4665</v>
      </c>
      <c r="D11" s="3" t="s">
        <v>99</v>
      </c>
      <c r="E11" s="4">
        <v>3815</v>
      </c>
      <c r="G11" s="3" t="s">
        <v>108</v>
      </c>
      <c r="H11" s="4">
        <v>230</v>
      </c>
      <c r="J11" s="3" t="s">
        <v>99</v>
      </c>
      <c r="K11" s="4">
        <v>206.25</v>
      </c>
    </row>
    <row r="12" spans="1:12" x14ac:dyDescent="0.25">
      <c r="A12" s="3" t="s">
        <v>99</v>
      </c>
      <c r="B12" s="4">
        <v>3698.75</v>
      </c>
      <c r="D12" s="3" t="s">
        <v>50</v>
      </c>
      <c r="E12" s="4">
        <v>687.5</v>
      </c>
      <c r="G12" s="3" t="s">
        <v>109</v>
      </c>
      <c r="H12" s="4">
        <v>565</v>
      </c>
      <c r="J12" s="3" t="s">
        <v>108</v>
      </c>
      <c r="K12" s="4">
        <v>4307.5</v>
      </c>
    </row>
    <row r="13" spans="1:12" ht="15.75" thickBot="1" x14ac:dyDescent="0.3">
      <c r="A13" s="3" t="s">
        <v>50</v>
      </c>
      <c r="B13" s="4">
        <v>687.5</v>
      </c>
      <c r="D13" s="22" t="s">
        <v>9</v>
      </c>
      <c r="E13" s="23">
        <v>420</v>
      </c>
      <c r="F13" s="60" t="s">
        <v>102</v>
      </c>
      <c r="G13" s="22" t="s">
        <v>50</v>
      </c>
      <c r="H13" s="23">
        <v>687.5</v>
      </c>
      <c r="J13" s="3" t="s">
        <v>109</v>
      </c>
      <c r="K13" s="4">
        <v>2097.5</v>
      </c>
    </row>
    <row r="14" spans="1:12" ht="16.5" thickBot="1" x14ac:dyDescent="0.3">
      <c r="A14" s="22" t="s">
        <v>9</v>
      </c>
      <c r="B14" s="23">
        <v>315</v>
      </c>
      <c r="C14" s="60" t="s">
        <v>102</v>
      </c>
      <c r="D14" s="38" t="s">
        <v>21</v>
      </c>
      <c r="E14" s="39">
        <v>21833.375</v>
      </c>
      <c r="G14" s="38" t="s">
        <v>21</v>
      </c>
      <c r="H14" s="39">
        <v>17756</v>
      </c>
      <c r="J14" s="3" t="s">
        <v>110</v>
      </c>
      <c r="K14" s="4">
        <v>93.75</v>
      </c>
    </row>
    <row r="15" spans="1:12" ht="15.75" x14ac:dyDescent="0.25">
      <c r="A15" s="38" t="s">
        <v>21</v>
      </c>
      <c r="B15" s="39">
        <v>19262</v>
      </c>
      <c r="D15" s="57" t="s">
        <v>19</v>
      </c>
      <c r="E15" s="58">
        <f>SUM(E3:E13)</f>
        <v>21583.125937593759</v>
      </c>
      <c r="G15" s="57" t="s">
        <v>19</v>
      </c>
      <c r="H15" s="58">
        <f>SUM(H3:H13)</f>
        <v>17751.25</v>
      </c>
      <c r="J15" s="3" t="s">
        <v>50</v>
      </c>
      <c r="K15" s="4">
        <v>500</v>
      </c>
    </row>
    <row r="16" spans="1:12" ht="16.5" thickBot="1" x14ac:dyDescent="0.3">
      <c r="A16" s="57" t="s">
        <v>19</v>
      </c>
      <c r="B16" s="58">
        <f>SUM(B3:B14)</f>
        <v>19258.75</v>
      </c>
      <c r="D16" s="22" t="s">
        <v>44</v>
      </c>
      <c r="E16" s="23">
        <f>E14-E15</f>
        <v>250.24906240624114</v>
      </c>
      <c r="F16" s="60" t="s">
        <v>23</v>
      </c>
      <c r="G16" s="22" t="s">
        <v>44</v>
      </c>
      <c r="H16" s="23">
        <f>H14-H15</f>
        <v>4.75</v>
      </c>
      <c r="J16" s="22" t="s">
        <v>9</v>
      </c>
      <c r="K16" s="23">
        <v>315</v>
      </c>
      <c r="L16" t="s">
        <v>102</v>
      </c>
    </row>
    <row r="17" spans="1:11" ht="16.5" thickBot="1" x14ac:dyDescent="0.3">
      <c r="A17" s="22" t="s">
        <v>44</v>
      </c>
      <c r="B17" s="23">
        <f>B15-B16</f>
        <v>3.25</v>
      </c>
      <c r="J17" s="38" t="s">
        <v>21</v>
      </c>
      <c r="K17" s="39">
        <v>20835.375</v>
      </c>
    </row>
    <row r="18" spans="1:11" ht="16.5" thickBot="1" x14ac:dyDescent="0.3">
      <c r="D18" s="15" t="s">
        <v>25</v>
      </c>
      <c r="E18" s="16" t="s">
        <v>120</v>
      </c>
      <c r="G18" s="15" t="s">
        <v>25</v>
      </c>
      <c r="H18" s="16" t="s">
        <v>121</v>
      </c>
      <c r="J18" s="57" t="s">
        <v>19</v>
      </c>
      <c r="K18" s="58">
        <f>SUM(K3:K16)</f>
        <v>20830.630157539385</v>
      </c>
    </row>
    <row r="19" spans="1:11" ht="15.75" thickBot="1" x14ac:dyDescent="0.3">
      <c r="A19" s="15" t="s">
        <v>119</v>
      </c>
      <c r="B19" s="16" t="s">
        <v>118</v>
      </c>
      <c r="D19" s="45" t="s">
        <v>17</v>
      </c>
      <c r="E19" s="46" t="s">
        <v>18</v>
      </c>
      <c r="G19" s="45" t="s">
        <v>17</v>
      </c>
      <c r="H19" s="46" t="s">
        <v>18</v>
      </c>
      <c r="J19" s="22" t="s">
        <v>44</v>
      </c>
      <c r="K19" s="23">
        <f>K17-K18</f>
        <v>4.7448424606154731</v>
      </c>
    </row>
    <row r="20" spans="1:11" ht="15.75" thickBot="1" x14ac:dyDescent="0.3">
      <c r="A20" s="45" t="s">
        <v>17</v>
      </c>
      <c r="B20" s="46" t="s">
        <v>18</v>
      </c>
      <c r="D20" s="48" t="s">
        <v>12</v>
      </c>
      <c r="E20" s="49">
        <v>470</v>
      </c>
      <c r="G20" s="48" t="s">
        <v>15</v>
      </c>
      <c r="H20" s="49">
        <v>646.25</v>
      </c>
    </row>
    <row r="21" spans="1:11" x14ac:dyDescent="0.25">
      <c r="A21" s="48" t="s">
        <v>12</v>
      </c>
      <c r="B21" s="49">
        <v>469.99999999999994</v>
      </c>
      <c r="D21" s="3" t="s">
        <v>96</v>
      </c>
      <c r="E21" s="4">
        <v>1506.25</v>
      </c>
      <c r="G21" s="3" t="s">
        <v>96</v>
      </c>
      <c r="H21" s="4">
        <v>3082.5</v>
      </c>
      <c r="J21" s="15" t="s">
        <v>25</v>
      </c>
      <c r="K21" s="16" t="s">
        <v>128</v>
      </c>
    </row>
    <row r="22" spans="1:11" ht="15.75" thickBot="1" x14ac:dyDescent="0.3">
      <c r="A22" s="3" t="s">
        <v>60</v>
      </c>
      <c r="B22" s="4">
        <v>460</v>
      </c>
      <c r="D22" s="3" t="s">
        <v>2</v>
      </c>
      <c r="E22" s="4">
        <v>1322.5</v>
      </c>
      <c r="G22" s="3" t="s">
        <v>2</v>
      </c>
      <c r="H22" s="4">
        <v>2158.75</v>
      </c>
      <c r="J22" s="45" t="s">
        <v>17</v>
      </c>
      <c r="K22" s="46" t="s">
        <v>18</v>
      </c>
    </row>
    <row r="23" spans="1:11" x14ac:dyDescent="0.25">
      <c r="A23" s="3" t="s">
        <v>96</v>
      </c>
      <c r="B23" s="4">
        <v>660</v>
      </c>
      <c r="D23" s="3" t="s">
        <v>97</v>
      </c>
      <c r="E23" s="4">
        <v>1137.5</v>
      </c>
      <c r="G23" s="3" t="s">
        <v>97</v>
      </c>
      <c r="H23" s="4">
        <v>460</v>
      </c>
      <c r="J23" s="48" t="s">
        <v>15</v>
      </c>
      <c r="K23" s="49">
        <v>876.25</v>
      </c>
    </row>
    <row r="24" spans="1:11" x14ac:dyDescent="0.25">
      <c r="A24" s="3" t="s">
        <v>2</v>
      </c>
      <c r="B24" s="4">
        <v>1764.8102981029811</v>
      </c>
      <c r="D24" s="3" t="s">
        <v>68</v>
      </c>
      <c r="E24" s="4">
        <v>200</v>
      </c>
      <c r="G24" s="3" t="s">
        <v>68</v>
      </c>
      <c r="H24" s="4">
        <v>50</v>
      </c>
      <c r="J24" s="3" t="s">
        <v>96</v>
      </c>
      <c r="K24" s="4">
        <v>2413.7593773443359</v>
      </c>
    </row>
    <row r="25" spans="1:11" x14ac:dyDescent="0.25">
      <c r="A25" s="3" t="s">
        <v>97</v>
      </c>
      <c r="B25" s="4">
        <v>610</v>
      </c>
      <c r="D25" s="3" t="s">
        <v>69</v>
      </c>
      <c r="E25" s="4">
        <v>82.5</v>
      </c>
      <c r="G25" s="3" t="s">
        <v>98</v>
      </c>
      <c r="H25" s="4">
        <v>272.5</v>
      </c>
      <c r="J25" s="3" t="s">
        <v>122</v>
      </c>
      <c r="K25" s="4">
        <v>750</v>
      </c>
    </row>
    <row r="26" spans="1:11" x14ac:dyDescent="0.25">
      <c r="A26" s="3" t="s">
        <v>98</v>
      </c>
      <c r="B26" s="4">
        <v>2130</v>
      </c>
      <c r="D26" s="3" t="s">
        <v>98</v>
      </c>
      <c r="E26" s="4">
        <v>1675</v>
      </c>
      <c r="G26" s="3" t="s">
        <v>108</v>
      </c>
      <c r="H26" s="4">
        <v>361.25</v>
      </c>
      <c r="J26" s="3" t="s">
        <v>97</v>
      </c>
      <c r="K26" s="4">
        <v>2859.375</v>
      </c>
    </row>
    <row r="27" spans="1:11" x14ac:dyDescent="0.25">
      <c r="A27" s="3" t="s">
        <v>91</v>
      </c>
      <c r="B27" s="4">
        <v>110</v>
      </c>
      <c r="D27" s="3" t="s">
        <v>99</v>
      </c>
      <c r="E27" s="4">
        <v>200</v>
      </c>
      <c r="G27" s="3" t="s">
        <v>109</v>
      </c>
      <c r="H27" s="4">
        <v>260</v>
      </c>
      <c r="J27" s="3" t="s">
        <v>99</v>
      </c>
      <c r="K27" s="4">
        <v>165</v>
      </c>
    </row>
    <row r="28" spans="1:11" x14ac:dyDescent="0.25">
      <c r="A28" s="3" t="s">
        <v>108</v>
      </c>
      <c r="B28" s="4">
        <v>3870</v>
      </c>
      <c r="D28" s="3" t="s">
        <v>108</v>
      </c>
      <c r="E28" s="4">
        <v>1458.75</v>
      </c>
      <c r="G28" s="3" t="s">
        <v>110</v>
      </c>
      <c r="H28" s="4">
        <v>4698.75</v>
      </c>
      <c r="J28" s="3" t="s">
        <v>110</v>
      </c>
      <c r="K28" s="4">
        <v>4509.375</v>
      </c>
    </row>
    <row r="29" spans="1:11" x14ac:dyDescent="0.25">
      <c r="A29" s="3" t="s">
        <v>109</v>
      </c>
      <c r="B29" s="4">
        <v>1468.3333333333335</v>
      </c>
      <c r="D29" s="3" t="s">
        <v>109</v>
      </c>
      <c r="E29" s="4">
        <v>477.5</v>
      </c>
      <c r="G29" s="3" t="s">
        <v>111</v>
      </c>
      <c r="H29" s="4">
        <v>5245</v>
      </c>
      <c r="J29" s="3" t="s">
        <v>111</v>
      </c>
      <c r="K29" s="4">
        <v>3179.3810952738186</v>
      </c>
    </row>
    <row r="30" spans="1:11" x14ac:dyDescent="0.25">
      <c r="A30" s="3" t="s">
        <v>110</v>
      </c>
      <c r="B30" s="4">
        <v>3980</v>
      </c>
      <c r="D30" s="3" t="s">
        <v>110</v>
      </c>
      <c r="E30" s="4">
        <v>5406.25</v>
      </c>
      <c r="G30" s="3" t="s">
        <v>112</v>
      </c>
      <c r="H30" s="4">
        <v>2180</v>
      </c>
      <c r="J30" s="3" t="s">
        <v>112</v>
      </c>
      <c r="K30" s="4">
        <v>3505</v>
      </c>
    </row>
    <row r="31" spans="1:11" ht="15.75" thickBot="1" x14ac:dyDescent="0.3">
      <c r="A31" s="22" t="s">
        <v>50</v>
      </c>
      <c r="B31" s="23">
        <v>499.99999999999994</v>
      </c>
      <c r="D31" s="3" t="s">
        <v>111</v>
      </c>
      <c r="E31" s="4">
        <v>1101.25</v>
      </c>
      <c r="G31" s="3" t="s">
        <v>113</v>
      </c>
      <c r="H31" s="4">
        <v>250</v>
      </c>
      <c r="J31" s="3" t="s">
        <v>113</v>
      </c>
      <c r="K31" s="4">
        <v>237.5</v>
      </c>
    </row>
    <row r="32" spans="1:11" ht="15.75" x14ac:dyDescent="0.25">
      <c r="A32" s="38" t="s">
        <v>21</v>
      </c>
      <c r="B32" s="39">
        <v>16023.125</v>
      </c>
      <c r="D32" s="3" t="s">
        <v>112</v>
      </c>
      <c r="E32" s="4">
        <v>545</v>
      </c>
      <c r="G32" s="3" t="s">
        <v>50</v>
      </c>
      <c r="H32" s="4">
        <v>687.5</v>
      </c>
      <c r="J32" s="3" t="s">
        <v>123</v>
      </c>
      <c r="K32" s="4">
        <v>442.5</v>
      </c>
    </row>
    <row r="33" spans="1:12" ht="16.5" thickBot="1" x14ac:dyDescent="0.3">
      <c r="A33" s="57" t="s">
        <v>19</v>
      </c>
      <c r="B33" s="58">
        <f>SUM(B21:B31)</f>
        <v>16023.143631436315</v>
      </c>
      <c r="D33" s="22" t="s">
        <v>50</v>
      </c>
      <c r="E33" s="23">
        <v>500</v>
      </c>
      <c r="G33" s="22" t="s">
        <v>9</v>
      </c>
      <c r="H33" s="23">
        <v>210</v>
      </c>
      <c r="I33" s="60" t="s">
        <v>102</v>
      </c>
      <c r="J33" s="3" t="s">
        <v>124</v>
      </c>
      <c r="K33" s="4">
        <v>1892.5</v>
      </c>
    </row>
    <row r="34" spans="1:12" ht="16.5" thickBot="1" x14ac:dyDescent="0.3">
      <c r="A34" s="22" t="s">
        <v>44</v>
      </c>
      <c r="B34" s="23">
        <f>B32-B33</f>
        <v>-1.8631436314535677E-2</v>
      </c>
      <c r="D34" s="38" t="s">
        <v>21</v>
      </c>
      <c r="E34" s="39">
        <v>16082.5</v>
      </c>
      <c r="G34" s="38" t="s">
        <v>21</v>
      </c>
      <c r="H34" s="39">
        <v>20567.75</v>
      </c>
      <c r="J34" s="3" t="s">
        <v>125</v>
      </c>
      <c r="K34" s="4">
        <v>250</v>
      </c>
    </row>
    <row r="35" spans="1:12" ht="16.5" thickBot="1" x14ac:dyDescent="0.3">
      <c r="D35" s="57" t="s">
        <v>19</v>
      </c>
      <c r="E35" s="58">
        <f>SUM(E20:E33)</f>
        <v>16082.5</v>
      </c>
      <c r="G35" s="57" t="s">
        <v>19</v>
      </c>
      <c r="H35" s="58">
        <f>SUM(H20:H33)</f>
        <v>20562.5</v>
      </c>
      <c r="J35" s="3" t="s">
        <v>50</v>
      </c>
      <c r="K35" s="4">
        <v>687.5</v>
      </c>
    </row>
    <row r="36" spans="1:12" ht="15.75" thickBot="1" x14ac:dyDescent="0.3">
      <c r="A36" s="15" t="s">
        <v>25</v>
      </c>
      <c r="B36" s="16" t="s">
        <v>129</v>
      </c>
      <c r="D36" s="22" t="s">
        <v>44</v>
      </c>
      <c r="E36" s="23">
        <f>E34-E35</f>
        <v>0</v>
      </c>
      <c r="G36" s="22" t="s">
        <v>44</v>
      </c>
      <c r="H36" s="23">
        <f>H34-H35</f>
        <v>5.25</v>
      </c>
      <c r="J36" s="22" t="s">
        <v>9</v>
      </c>
      <c r="K36" s="23">
        <v>315</v>
      </c>
      <c r="L36" t="s">
        <v>102</v>
      </c>
    </row>
    <row r="37" spans="1:12" ht="16.5" thickBot="1" x14ac:dyDescent="0.3">
      <c r="A37" s="45" t="s">
        <v>17</v>
      </c>
      <c r="B37" s="46" t="s">
        <v>18</v>
      </c>
      <c r="J37" s="38" t="s">
        <v>21</v>
      </c>
      <c r="K37" s="39">
        <v>22089</v>
      </c>
    </row>
    <row r="38" spans="1:12" ht="15.75" x14ac:dyDescent="0.25">
      <c r="A38" s="48" t="s">
        <v>15</v>
      </c>
      <c r="B38" s="49">
        <v>751.25</v>
      </c>
      <c r="D38" s="15" t="s">
        <v>25</v>
      </c>
      <c r="E38" s="16" t="s">
        <v>130</v>
      </c>
      <c r="G38" s="15" t="s">
        <v>25</v>
      </c>
      <c r="H38" s="16" t="s">
        <v>131</v>
      </c>
      <c r="J38" s="57" t="s">
        <v>19</v>
      </c>
      <c r="K38" s="58">
        <f>SUM(K23:K36)</f>
        <v>22083.140472618157</v>
      </c>
    </row>
    <row r="39" spans="1:12" ht="15.75" thickBot="1" x14ac:dyDescent="0.3">
      <c r="A39" s="3" t="s">
        <v>96</v>
      </c>
      <c r="B39" s="4">
        <v>1257.5</v>
      </c>
      <c r="D39" s="45" t="s">
        <v>17</v>
      </c>
      <c r="E39" s="46" t="s">
        <v>18</v>
      </c>
      <c r="G39" s="45" t="s">
        <v>17</v>
      </c>
      <c r="H39" s="46" t="s">
        <v>18</v>
      </c>
      <c r="J39" s="22" t="s">
        <v>44</v>
      </c>
      <c r="K39" s="23">
        <f>K37-K38</f>
        <v>5.8595273818427813</v>
      </c>
    </row>
    <row r="40" spans="1:12" ht="15.75" thickBot="1" x14ac:dyDescent="0.3">
      <c r="A40" s="3" t="s">
        <v>97</v>
      </c>
      <c r="B40" s="4">
        <v>2392.5</v>
      </c>
      <c r="D40" s="48" t="s">
        <v>15</v>
      </c>
      <c r="E40" s="49">
        <v>470</v>
      </c>
      <c r="G40" s="48" t="s">
        <v>60</v>
      </c>
      <c r="H40" s="49">
        <v>470</v>
      </c>
    </row>
    <row r="41" spans="1:12" x14ac:dyDescent="0.25">
      <c r="A41" s="3" t="s">
        <v>69</v>
      </c>
      <c r="B41" s="4">
        <v>315</v>
      </c>
      <c r="D41" s="3" t="s">
        <v>97</v>
      </c>
      <c r="E41" s="4">
        <v>3111.2575018754687</v>
      </c>
      <c r="G41" s="3" t="s">
        <v>96</v>
      </c>
      <c r="H41" s="4">
        <v>358.75</v>
      </c>
      <c r="J41" s="15" t="s">
        <v>25</v>
      </c>
      <c r="K41" s="16" t="s">
        <v>132</v>
      </c>
    </row>
    <row r="42" spans="1:12" ht="15.75" thickBot="1" x14ac:dyDescent="0.3">
      <c r="A42" s="3" t="s">
        <v>91</v>
      </c>
      <c r="B42" s="4">
        <v>117.5</v>
      </c>
      <c r="D42" s="3" t="s">
        <v>69</v>
      </c>
      <c r="E42" s="4">
        <v>945</v>
      </c>
      <c r="G42" s="3" t="s">
        <v>122</v>
      </c>
      <c r="H42" s="4">
        <v>1190</v>
      </c>
      <c r="J42" s="45" t="s">
        <v>17</v>
      </c>
      <c r="K42" s="46" t="s">
        <v>18</v>
      </c>
    </row>
    <row r="43" spans="1:12" x14ac:dyDescent="0.25">
      <c r="A43" s="3" t="s">
        <v>109</v>
      </c>
      <c r="B43" s="4">
        <v>2613.75</v>
      </c>
      <c r="D43" s="3" t="s">
        <v>91</v>
      </c>
      <c r="E43" s="4">
        <v>207.5</v>
      </c>
      <c r="G43" s="3" t="s">
        <v>97</v>
      </c>
      <c r="H43" s="4">
        <v>4570</v>
      </c>
      <c r="J43" s="48" t="s">
        <v>60</v>
      </c>
      <c r="K43" s="49">
        <v>646.25</v>
      </c>
    </row>
    <row r="44" spans="1:12" x14ac:dyDescent="0.25">
      <c r="A44" s="3" t="s">
        <v>110</v>
      </c>
      <c r="B44" s="4">
        <v>1698.75</v>
      </c>
      <c r="D44" s="3" t="s">
        <v>109</v>
      </c>
      <c r="E44" s="4">
        <v>2633.75</v>
      </c>
      <c r="G44" s="3" t="s">
        <v>69</v>
      </c>
      <c r="H44" s="4">
        <v>775</v>
      </c>
      <c r="J44" s="3" t="s">
        <v>96</v>
      </c>
      <c r="K44" s="4">
        <v>110</v>
      </c>
    </row>
    <row r="45" spans="1:12" x14ac:dyDescent="0.25">
      <c r="A45" s="3" t="s">
        <v>111</v>
      </c>
      <c r="B45" s="4">
        <v>367.5</v>
      </c>
      <c r="D45" s="3" t="s">
        <v>110</v>
      </c>
      <c r="E45" s="4">
        <v>183.75</v>
      </c>
      <c r="G45" s="3" t="s">
        <v>83</v>
      </c>
      <c r="H45" s="4">
        <v>747.5</v>
      </c>
      <c r="J45" s="3" t="s">
        <v>122</v>
      </c>
      <c r="K45" s="4">
        <v>2832.5</v>
      </c>
    </row>
    <row r="46" spans="1:12" x14ac:dyDescent="0.25">
      <c r="A46" s="3" t="s">
        <v>112</v>
      </c>
      <c r="B46" s="4">
        <v>4752.5</v>
      </c>
      <c r="D46" s="3" t="s">
        <v>112</v>
      </c>
      <c r="E46" s="4">
        <v>3338.75</v>
      </c>
      <c r="G46" s="3" t="s">
        <v>91</v>
      </c>
      <c r="H46" s="4">
        <v>595</v>
      </c>
      <c r="J46" s="3" t="s">
        <v>97</v>
      </c>
      <c r="K46" s="4">
        <v>320</v>
      </c>
    </row>
    <row r="47" spans="1:12" x14ac:dyDescent="0.25">
      <c r="A47" s="3" t="s">
        <v>123</v>
      </c>
      <c r="B47" s="4">
        <v>936.25</v>
      </c>
      <c r="D47" s="3" t="s">
        <v>123</v>
      </c>
      <c r="E47" s="4">
        <v>582.5</v>
      </c>
      <c r="G47" s="3" t="s">
        <v>99</v>
      </c>
      <c r="H47" s="4">
        <v>120</v>
      </c>
      <c r="J47" s="3" t="s">
        <v>69</v>
      </c>
      <c r="K47" s="4">
        <v>1407.5</v>
      </c>
    </row>
    <row r="48" spans="1:12" x14ac:dyDescent="0.25">
      <c r="A48" s="3" t="s">
        <v>124</v>
      </c>
      <c r="B48" s="4">
        <v>5850.0121905476371</v>
      </c>
      <c r="D48" s="3" t="s">
        <v>124</v>
      </c>
      <c r="E48" s="4">
        <v>5062.5</v>
      </c>
      <c r="G48" s="3" t="s">
        <v>109</v>
      </c>
      <c r="H48" s="4">
        <v>2362.5</v>
      </c>
      <c r="J48" s="3" t="s">
        <v>83</v>
      </c>
      <c r="K48" s="4">
        <v>2813.75</v>
      </c>
    </row>
    <row r="49" spans="1:11" x14ac:dyDescent="0.25">
      <c r="A49" s="3" t="s">
        <v>126</v>
      </c>
      <c r="B49" s="4">
        <v>450</v>
      </c>
      <c r="D49" s="3" t="s">
        <v>127</v>
      </c>
      <c r="E49" s="4">
        <v>90</v>
      </c>
      <c r="G49" s="3" t="s">
        <v>112</v>
      </c>
      <c r="H49" s="4">
        <v>2181.25</v>
      </c>
      <c r="J49" s="3" t="s">
        <v>91</v>
      </c>
      <c r="K49" s="4">
        <v>1553.75</v>
      </c>
    </row>
    <row r="50" spans="1:11" x14ac:dyDescent="0.25">
      <c r="A50" s="3" t="s">
        <v>50</v>
      </c>
      <c r="B50" s="4">
        <v>687.5</v>
      </c>
      <c r="D50" s="3" t="s">
        <v>50</v>
      </c>
      <c r="E50" s="4">
        <v>500</v>
      </c>
      <c r="G50" s="3" t="s">
        <v>123</v>
      </c>
      <c r="H50" s="4">
        <v>515</v>
      </c>
      <c r="J50" s="3" t="s">
        <v>109</v>
      </c>
      <c r="K50" s="4">
        <v>2226.25</v>
      </c>
    </row>
    <row r="51" spans="1:11" ht="15.75" thickBot="1" x14ac:dyDescent="0.3">
      <c r="A51" s="22" t="s">
        <v>9</v>
      </c>
      <c r="B51" s="23">
        <v>288.75</v>
      </c>
      <c r="D51" s="22" t="s">
        <v>9</v>
      </c>
      <c r="E51" s="23">
        <v>420</v>
      </c>
      <c r="G51" s="3" t="s">
        <v>124</v>
      </c>
      <c r="H51" s="4">
        <v>4655</v>
      </c>
      <c r="J51" s="3" t="s">
        <v>112</v>
      </c>
      <c r="K51" s="4">
        <v>2765</v>
      </c>
    </row>
    <row r="52" spans="1:11" ht="16.5" thickBot="1" x14ac:dyDescent="0.3">
      <c r="A52" s="38" t="s">
        <v>21</v>
      </c>
      <c r="B52" s="39">
        <v>22484</v>
      </c>
      <c r="D52" s="38" t="s">
        <v>21</v>
      </c>
      <c r="E52" s="39">
        <v>17545</v>
      </c>
      <c r="G52" s="22" t="s">
        <v>9</v>
      </c>
      <c r="H52" s="23">
        <v>680</v>
      </c>
      <c r="J52" s="3" t="s">
        <v>123</v>
      </c>
      <c r="K52" s="4">
        <v>215</v>
      </c>
    </row>
    <row r="53" spans="1:11" ht="15.75" x14ac:dyDescent="0.25">
      <c r="A53" s="57" t="s">
        <v>19</v>
      </c>
      <c r="B53" s="58">
        <f>SUM(B38:B51)</f>
        <v>22478.762190547637</v>
      </c>
      <c r="D53" s="57" t="s">
        <v>19</v>
      </c>
      <c r="E53" s="58">
        <f>SUM(E40:E51)</f>
        <v>17545.007501875469</v>
      </c>
      <c r="G53" s="38" t="s">
        <v>21</v>
      </c>
      <c r="H53" s="39">
        <v>19220</v>
      </c>
      <c r="J53" s="3" t="s">
        <v>124</v>
      </c>
      <c r="K53" s="4">
        <v>180</v>
      </c>
    </row>
    <row r="54" spans="1:11" ht="16.5" thickBot="1" x14ac:dyDescent="0.3">
      <c r="A54" s="22" t="s">
        <v>44</v>
      </c>
      <c r="B54" s="23">
        <f>B52-B53</f>
        <v>5.2378094523628533</v>
      </c>
      <c r="D54" s="22" t="s">
        <v>44</v>
      </c>
      <c r="E54" s="23">
        <f>E52-E53</f>
        <v>-7.5018754687334877E-3</v>
      </c>
      <c r="G54" s="57" t="s">
        <v>19</v>
      </c>
      <c r="H54" s="58">
        <f>SUM(H40:H52)</f>
        <v>19220</v>
      </c>
      <c r="J54" s="3" t="s">
        <v>125</v>
      </c>
      <c r="K54" s="4">
        <v>290</v>
      </c>
    </row>
    <row r="55" spans="1:11" ht="15.75" thickBot="1" x14ac:dyDescent="0.3">
      <c r="G55" s="22" t="s">
        <v>44</v>
      </c>
      <c r="H55" s="23">
        <f>H53-H54</f>
        <v>0</v>
      </c>
      <c r="J55" s="22" t="s">
        <v>9</v>
      </c>
      <c r="K55" s="23">
        <v>730</v>
      </c>
    </row>
    <row r="56" spans="1:11" ht="16.5" thickBot="1" x14ac:dyDescent="0.3">
      <c r="A56" s="15" t="s">
        <v>25</v>
      </c>
      <c r="B56" s="16" t="s">
        <v>134</v>
      </c>
      <c r="D56" s="15" t="s">
        <v>25</v>
      </c>
      <c r="E56" s="16" t="s">
        <v>138</v>
      </c>
      <c r="J56" s="38" t="s">
        <v>21</v>
      </c>
      <c r="K56" s="39">
        <v>16093</v>
      </c>
    </row>
    <row r="57" spans="1:11" ht="16.5" thickBot="1" x14ac:dyDescent="0.3">
      <c r="A57" s="45" t="s">
        <v>17</v>
      </c>
      <c r="B57" s="46" t="s">
        <v>18</v>
      </c>
      <c r="D57" s="45" t="s">
        <v>17</v>
      </c>
      <c r="E57" s="46" t="s">
        <v>18</v>
      </c>
      <c r="G57" s="15" t="s">
        <v>25</v>
      </c>
      <c r="H57" s="16" t="s">
        <v>141</v>
      </c>
      <c r="J57" s="57" t="s">
        <v>19</v>
      </c>
      <c r="K57" s="58">
        <f>SUM(K42:K55)</f>
        <v>16090</v>
      </c>
    </row>
    <row r="58" spans="1:11" ht="15.75" thickBot="1" x14ac:dyDescent="0.3">
      <c r="A58" s="48" t="s">
        <v>96</v>
      </c>
      <c r="B58" s="56">
        <v>220</v>
      </c>
      <c r="D58" s="48" t="s">
        <v>96</v>
      </c>
      <c r="E58" s="56">
        <v>401.25</v>
      </c>
      <c r="G58" s="45" t="s">
        <v>17</v>
      </c>
      <c r="H58" s="46" t="s">
        <v>18</v>
      </c>
      <c r="J58" s="22" t="s">
        <v>44</v>
      </c>
      <c r="K58" s="23">
        <f>K56-K57</f>
        <v>3</v>
      </c>
    </row>
    <row r="59" spans="1:11" ht="15.75" thickBot="1" x14ac:dyDescent="0.3">
      <c r="A59" s="3" t="s">
        <v>122</v>
      </c>
      <c r="B59" s="21">
        <v>6963.75</v>
      </c>
      <c r="D59" s="3" t="s">
        <v>122</v>
      </c>
      <c r="E59" s="21">
        <v>4363.75</v>
      </c>
      <c r="G59" s="48" t="s">
        <v>96</v>
      </c>
      <c r="H59" s="56">
        <v>2440</v>
      </c>
    </row>
    <row r="60" spans="1:11" x14ac:dyDescent="0.25">
      <c r="A60" s="3" t="s">
        <v>97</v>
      </c>
      <c r="B60" s="21">
        <v>622.5</v>
      </c>
      <c r="D60" s="3" t="s">
        <v>135</v>
      </c>
      <c r="E60" s="21">
        <v>272.5</v>
      </c>
      <c r="G60" s="3" t="s">
        <v>122</v>
      </c>
      <c r="H60" s="21">
        <v>2036.25</v>
      </c>
      <c r="J60" s="15" t="s">
        <v>25</v>
      </c>
      <c r="K60" s="16" t="s">
        <v>143</v>
      </c>
    </row>
    <row r="61" spans="1:11" ht="15.75" thickBot="1" x14ac:dyDescent="0.3">
      <c r="A61" s="3" t="s">
        <v>69</v>
      </c>
      <c r="B61" s="21">
        <v>218.75</v>
      </c>
      <c r="D61" s="3" t="s">
        <v>52</v>
      </c>
      <c r="E61" s="21">
        <v>376.25</v>
      </c>
      <c r="G61" s="3" t="s">
        <v>135</v>
      </c>
      <c r="H61" s="21">
        <v>65</v>
      </c>
      <c r="J61" s="45" t="s">
        <v>17</v>
      </c>
      <c r="K61" s="46" t="s">
        <v>18</v>
      </c>
    </row>
    <row r="62" spans="1:11" x14ac:dyDescent="0.25">
      <c r="A62" s="3" t="s">
        <v>83</v>
      </c>
      <c r="B62" s="21">
        <v>1967.5</v>
      </c>
      <c r="D62" s="3" t="s">
        <v>97</v>
      </c>
      <c r="E62" s="21">
        <v>963.75</v>
      </c>
      <c r="G62" s="3" t="s">
        <v>97</v>
      </c>
      <c r="H62" s="21">
        <v>1270</v>
      </c>
      <c r="J62" s="48" t="s">
        <v>96</v>
      </c>
      <c r="K62" s="56">
        <v>883.75</v>
      </c>
    </row>
    <row r="63" spans="1:11" x14ac:dyDescent="0.25">
      <c r="A63" s="3" t="s">
        <v>91</v>
      </c>
      <c r="B63" s="21">
        <v>187.5</v>
      </c>
      <c r="D63" s="3" t="s">
        <v>69</v>
      </c>
      <c r="E63" s="21">
        <v>620</v>
      </c>
      <c r="G63" s="3" t="s">
        <v>69</v>
      </c>
      <c r="H63" s="21">
        <v>1457.5</v>
      </c>
      <c r="J63" s="3" t="s">
        <v>97</v>
      </c>
      <c r="K63" s="4">
        <v>3207.5084396099028</v>
      </c>
    </row>
    <row r="64" spans="1:11" x14ac:dyDescent="0.25">
      <c r="A64" s="3" t="s">
        <v>109</v>
      </c>
      <c r="B64" s="21">
        <v>62.5</v>
      </c>
      <c r="D64" s="3" t="s">
        <v>83</v>
      </c>
      <c r="E64" s="21">
        <v>3118.75</v>
      </c>
      <c r="G64" s="3" t="s">
        <v>83</v>
      </c>
      <c r="H64" s="21">
        <v>556.25</v>
      </c>
      <c r="J64" s="3" t="s">
        <v>69</v>
      </c>
      <c r="K64" s="21">
        <v>1651.25</v>
      </c>
    </row>
    <row r="65" spans="1:12" x14ac:dyDescent="0.25">
      <c r="A65" s="3" t="s">
        <v>112</v>
      </c>
      <c r="B65" s="21">
        <v>2868.75</v>
      </c>
      <c r="D65" s="3" t="s">
        <v>91</v>
      </c>
      <c r="E65" s="21">
        <v>807.5</v>
      </c>
      <c r="G65" s="3" t="s">
        <v>91</v>
      </c>
      <c r="H65" s="21">
        <v>61.25</v>
      </c>
      <c r="J65" s="3" t="s">
        <v>83</v>
      </c>
      <c r="K65" s="21">
        <v>736.25</v>
      </c>
    </row>
    <row r="66" spans="1:12" x14ac:dyDescent="0.25">
      <c r="A66" s="3" t="s">
        <v>123</v>
      </c>
      <c r="B66" s="21">
        <v>1855</v>
      </c>
      <c r="D66" s="3" t="s">
        <v>109</v>
      </c>
      <c r="E66" s="21">
        <v>195</v>
      </c>
      <c r="G66" s="3" t="s">
        <v>109</v>
      </c>
      <c r="H66" s="21">
        <v>56.88109527381846</v>
      </c>
      <c r="J66" s="3" t="s">
        <v>91</v>
      </c>
      <c r="K66" s="21">
        <v>420</v>
      </c>
    </row>
    <row r="67" spans="1:12" x14ac:dyDescent="0.25">
      <c r="A67" s="3" t="s">
        <v>124</v>
      </c>
      <c r="B67" s="21">
        <v>300</v>
      </c>
      <c r="D67" s="3" t="s">
        <v>112</v>
      </c>
      <c r="E67" s="21">
        <v>1307.5</v>
      </c>
      <c r="G67" s="3" t="s">
        <v>112</v>
      </c>
      <c r="H67" s="21">
        <v>2207.5</v>
      </c>
      <c r="J67" s="3" t="s">
        <v>109</v>
      </c>
      <c r="K67" s="21">
        <v>1756.25</v>
      </c>
    </row>
    <row r="68" spans="1:12" ht="15.75" thickBot="1" x14ac:dyDescent="0.3">
      <c r="A68" s="22" t="s">
        <v>133</v>
      </c>
      <c r="B68" s="24">
        <v>260</v>
      </c>
      <c r="D68" s="3" t="s">
        <v>123</v>
      </c>
      <c r="E68" s="21">
        <v>1806.25</v>
      </c>
      <c r="G68" s="3" t="s">
        <v>123</v>
      </c>
      <c r="H68" s="21">
        <v>701.25</v>
      </c>
      <c r="J68" s="3" t="s">
        <v>112</v>
      </c>
      <c r="K68" s="21">
        <v>1613.75</v>
      </c>
    </row>
    <row r="69" spans="1:12" ht="15.75" x14ac:dyDescent="0.25">
      <c r="A69" s="38" t="s">
        <v>21</v>
      </c>
      <c r="B69" s="39">
        <v>15530</v>
      </c>
      <c r="D69" s="3" t="s">
        <v>133</v>
      </c>
      <c r="E69" s="21">
        <v>560</v>
      </c>
      <c r="G69" s="3" t="s">
        <v>127</v>
      </c>
      <c r="H69" s="21">
        <v>465</v>
      </c>
      <c r="J69" s="3" t="s">
        <v>123</v>
      </c>
      <c r="K69" s="21">
        <v>193.75</v>
      </c>
    </row>
    <row r="70" spans="1:12" ht="15.75" x14ac:dyDescent="0.25">
      <c r="A70" s="57" t="s">
        <v>19</v>
      </c>
      <c r="B70" s="58">
        <f>SUM(B58:B68)</f>
        <v>15526.25</v>
      </c>
      <c r="D70" s="3" t="s">
        <v>136</v>
      </c>
      <c r="E70" s="21">
        <v>315</v>
      </c>
      <c r="G70" s="3" t="s">
        <v>133</v>
      </c>
      <c r="H70" s="21">
        <v>130</v>
      </c>
      <c r="J70" s="3" t="s">
        <v>127</v>
      </c>
      <c r="K70" s="21">
        <v>823.75</v>
      </c>
    </row>
    <row r="71" spans="1:12" ht="15.75" thickBot="1" x14ac:dyDescent="0.3">
      <c r="A71" s="22" t="s">
        <v>44</v>
      </c>
      <c r="B71" s="23">
        <f>B69-B70</f>
        <v>3.75</v>
      </c>
      <c r="D71" s="3" t="s">
        <v>137</v>
      </c>
      <c r="E71" s="21">
        <v>130</v>
      </c>
      <c r="G71" s="3" t="s">
        <v>136</v>
      </c>
      <c r="H71" s="21">
        <v>1422.5</v>
      </c>
      <c r="J71" s="3" t="s">
        <v>133</v>
      </c>
      <c r="K71" s="21">
        <v>260</v>
      </c>
    </row>
    <row r="72" spans="1:12" ht="15.75" thickBot="1" x14ac:dyDescent="0.3">
      <c r="D72" s="22" t="s">
        <v>9</v>
      </c>
      <c r="E72" s="24">
        <v>510</v>
      </c>
      <c r="F72" s="60" t="s">
        <v>102</v>
      </c>
      <c r="G72" s="3" t="s">
        <v>137</v>
      </c>
      <c r="H72" s="21">
        <v>635</v>
      </c>
      <c r="J72" s="3" t="s">
        <v>136</v>
      </c>
      <c r="K72" s="21">
        <v>907.5</v>
      </c>
    </row>
    <row r="73" spans="1:12" ht="15.75" x14ac:dyDescent="0.25">
      <c r="A73" s="15" t="s">
        <v>25</v>
      </c>
      <c r="B73" s="16" t="s">
        <v>145</v>
      </c>
      <c r="D73" s="38" t="s">
        <v>21</v>
      </c>
      <c r="E73" s="39">
        <v>15750</v>
      </c>
      <c r="G73" s="3" t="s">
        <v>139</v>
      </c>
      <c r="H73" s="21">
        <v>698.75</v>
      </c>
      <c r="J73" s="3" t="s">
        <v>137</v>
      </c>
      <c r="K73" s="21">
        <v>1020</v>
      </c>
    </row>
    <row r="74" spans="1:12" ht="32.25" customHeight="1" thickBot="1" x14ac:dyDescent="0.3">
      <c r="A74" s="45" t="s">
        <v>17</v>
      </c>
      <c r="B74" s="46" t="s">
        <v>18</v>
      </c>
      <c r="D74" s="57" t="s">
        <v>19</v>
      </c>
      <c r="E74" s="58">
        <f>SUM(E58:E72)</f>
        <v>15747.5</v>
      </c>
      <c r="G74" s="22" t="s">
        <v>9</v>
      </c>
      <c r="H74" s="24">
        <v>1030.625</v>
      </c>
      <c r="I74" s="59" t="s">
        <v>140</v>
      </c>
      <c r="J74" s="3" t="s">
        <v>139</v>
      </c>
      <c r="K74" s="21">
        <v>1105</v>
      </c>
      <c r="L74" s="59" t="s">
        <v>144</v>
      </c>
    </row>
    <row r="75" spans="1:12" ht="16.5" thickBot="1" x14ac:dyDescent="0.3">
      <c r="A75" s="48" t="s">
        <v>96</v>
      </c>
      <c r="B75" s="49">
        <v>576.25</v>
      </c>
      <c r="D75" s="22" t="s">
        <v>44</v>
      </c>
      <c r="E75" s="23">
        <f>E73-E74</f>
        <v>2.5</v>
      </c>
      <c r="G75" s="38" t="s">
        <v>21</v>
      </c>
      <c r="H75" s="39">
        <v>15236</v>
      </c>
      <c r="J75" s="3" t="s">
        <v>142</v>
      </c>
      <c r="K75" s="21">
        <v>165</v>
      </c>
    </row>
    <row r="76" spans="1:12" ht="16.5" thickBot="1" x14ac:dyDescent="0.3">
      <c r="A76" s="3" t="s">
        <v>122</v>
      </c>
      <c r="B76" s="4">
        <v>418.75</v>
      </c>
      <c r="G76" s="57" t="s">
        <v>19</v>
      </c>
      <c r="H76" s="58">
        <f>SUM(H59:H74)</f>
        <v>15233.756095273819</v>
      </c>
      <c r="J76" s="22" t="s">
        <v>9</v>
      </c>
      <c r="K76" s="24">
        <v>760</v>
      </c>
    </row>
    <row r="77" spans="1:12" ht="16.5" thickBot="1" x14ac:dyDescent="0.3">
      <c r="A77" s="3" t="s">
        <v>97</v>
      </c>
      <c r="B77" s="4">
        <v>1973.75</v>
      </c>
      <c r="D77" s="15" t="s">
        <v>25</v>
      </c>
      <c r="E77" s="16" t="s">
        <v>146</v>
      </c>
      <c r="G77" s="22" t="s">
        <v>44</v>
      </c>
      <c r="H77" s="23">
        <f>H75-H76</f>
        <v>2.2439047261814267</v>
      </c>
      <c r="J77" s="38" t="s">
        <v>21</v>
      </c>
      <c r="K77" s="39">
        <v>15506</v>
      </c>
    </row>
    <row r="78" spans="1:12" ht="16.5" thickBot="1" x14ac:dyDescent="0.3">
      <c r="A78" s="3" t="s">
        <v>69</v>
      </c>
      <c r="B78" s="4">
        <v>782.5</v>
      </c>
      <c r="D78" s="45" t="s">
        <v>17</v>
      </c>
      <c r="E78" s="46" t="s">
        <v>18</v>
      </c>
      <c r="J78" s="57" t="s">
        <v>19</v>
      </c>
      <c r="K78" s="58">
        <f>SUM(K62:K76)</f>
        <v>15503.758439609903</v>
      </c>
    </row>
    <row r="79" spans="1:12" ht="15.75" thickBot="1" x14ac:dyDescent="0.3">
      <c r="A79" s="3" t="s">
        <v>83</v>
      </c>
      <c r="B79" s="4">
        <v>250</v>
      </c>
      <c r="D79" s="48" t="s">
        <v>97</v>
      </c>
      <c r="E79" s="56">
        <v>808.75</v>
      </c>
      <c r="G79" s="15" t="s">
        <v>25</v>
      </c>
      <c r="H79" s="16" t="s">
        <v>147</v>
      </c>
      <c r="J79" s="22" t="s">
        <v>44</v>
      </c>
      <c r="K79" s="23">
        <f>K77-K78</f>
        <v>2.2415603900972201</v>
      </c>
    </row>
    <row r="80" spans="1:12" ht="15.75" thickBot="1" x14ac:dyDescent="0.3">
      <c r="A80" s="3" t="s">
        <v>91</v>
      </c>
      <c r="B80" s="4">
        <v>1137.5</v>
      </c>
      <c r="D80" s="3" t="s">
        <v>69</v>
      </c>
      <c r="E80" s="21">
        <v>180</v>
      </c>
      <c r="G80" s="45" t="s">
        <v>17</v>
      </c>
      <c r="H80" s="46" t="s">
        <v>18</v>
      </c>
    </row>
    <row r="81" spans="1:11" x14ac:dyDescent="0.25">
      <c r="A81" s="3" t="s">
        <v>109</v>
      </c>
      <c r="B81" s="4">
        <v>710</v>
      </c>
      <c r="D81" s="3" t="s">
        <v>91</v>
      </c>
      <c r="E81" s="21">
        <v>1807.5</v>
      </c>
      <c r="G81" s="48" t="s">
        <v>69</v>
      </c>
      <c r="H81" s="56">
        <v>665</v>
      </c>
      <c r="J81" s="15" t="s">
        <v>25</v>
      </c>
      <c r="K81" s="16" t="s">
        <v>149</v>
      </c>
    </row>
    <row r="82" spans="1:11" ht="15.75" thickBot="1" x14ac:dyDescent="0.3">
      <c r="A82" s="3" t="s">
        <v>111</v>
      </c>
      <c r="B82" s="4">
        <v>980</v>
      </c>
      <c r="D82" s="3" t="s">
        <v>136</v>
      </c>
      <c r="E82" s="21">
        <v>183.75</v>
      </c>
      <c r="G82" s="3" t="s">
        <v>91</v>
      </c>
      <c r="H82" s="21">
        <v>1623.75</v>
      </c>
      <c r="J82" s="45" t="s">
        <v>17</v>
      </c>
      <c r="K82" s="46" t="s">
        <v>18</v>
      </c>
    </row>
    <row r="83" spans="1:11" x14ac:dyDescent="0.25">
      <c r="A83" s="3" t="s">
        <v>112</v>
      </c>
      <c r="B83" s="4">
        <v>645</v>
      </c>
      <c r="D83" s="3" t="s">
        <v>142</v>
      </c>
      <c r="E83" s="21">
        <v>3810</v>
      </c>
      <c r="G83" s="3" t="s">
        <v>136</v>
      </c>
      <c r="H83" s="21">
        <v>700</v>
      </c>
      <c r="J83" s="48" t="s">
        <v>96</v>
      </c>
      <c r="K83" s="56">
        <v>612.5</v>
      </c>
    </row>
    <row r="84" spans="1:11" ht="15.75" thickBot="1" x14ac:dyDescent="0.3">
      <c r="A84" s="3" t="s">
        <v>127</v>
      </c>
      <c r="B84" s="4">
        <v>1570</v>
      </c>
      <c r="D84" s="22" t="s">
        <v>9</v>
      </c>
      <c r="E84" s="24">
        <v>250</v>
      </c>
      <c r="G84" s="3" t="s">
        <v>142</v>
      </c>
      <c r="H84" s="21">
        <v>3181.25</v>
      </c>
      <c r="J84" s="3" t="s">
        <v>148</v>
      </c>
      <c r="K84" s="21">
        <v>200</v>
      </c>
    </row>
    <row r="85" spans="1:11" ht="16.5" thickBot="1" x14ac:dyDescent="0.3">
      <c r="A85" s="3" t="s">
        <v>136</v>
      </c>
      <c r="B85" s="4">
        <v>971.25</v>
      </c>
      <c r="D85" s="38" t="s">
        <v>21</v>
      </c>
      <c r="E85" s="39">
        <v>7040</v>
      </c>
      <c r="G85" s="22" t="s">
        <v>9</v>
      </c>
      <c r="H85" s="24">
        <v>250</v>
      </c>
      <c r="J85" s="3" t="s">
        <v>69</v>
      </c>
      <c r="K85" s="21">
        <v>572.5</v>
      </c>
    </row>
    <row r="86" spans="1:11" ht="15.75" x14ac:dyDescent="0.25">
      <c r="A86" s="3" t="s">
        <v>137</v>
      </c>
      <c r="B86" s="4">
        <v>612.5</v>
      </c>
      <c r="D86" s="57" t="s">
        <v>19</v>
      </c>
      <c r="E86" s="58">
        <f>SUM(E79:E84)</f>
        <v>7040</v>
      </c>
      <c r="G86" s="38" t="s">
        <v>21</v>
      </c>
      <c r="H86" s="39">
        <v>6420</v>
      </c>
      <c r="J86" s="3" t="s">
        <v>91</v>
      </c>
      <c r="K86" s="21">
        <v>2153.75</v>
      </c>
    </row>
    <row r="87" spans="1:11" ht="16.5" thickBot="1" x14ac:dyDescent="0.3">
      <c r="A87" s="3" t="s">
        <v>139</v>
      </c>
      <c r="B87" s="4">
        <v>800</v>
      </c>
      <c r="D87" s="22" t="s">
        <v>44</v>
      </c>
      <c r="E87" s="23">
        <f>E85-E86</f>
        <v>0</v>
      </c>
      <c r="G87" s="57" t="s">
        <v>19</v>
      </c>
      <c r="H87" s="58">
        <f>SUM(H80:H85)</f>
        <v>6420</v>
      </c>
      <c r="J87" s="3" t="s">
        <v>124</v>
      </c>
      <c r="K87" s="21">
        <v>1427.5</v>
      </c>
    </row>
    <row r="88" spans="1:11" ht="15.75" thickBot="1" x14ac:dyDescent="0.3">
      <c r="A88" s="3" t="s">
        <v>142</v>
      </c>
      <c r="B88" s="4">
        <v>1689.3810952738186</v>
      </c>
      <c r="G88" s="22" t="s">
        <v>44</v>
      </c>
      <c r="H88" s="23">
        <f>H86-H87</f>
        <v>0</v>
      </c>
      <c r="J88" s="3" t="s">
        <v>127</v>
      </c>
      <c r="K88" s="21">
        <v>1281.25</v>
      </c>
    </row>
    <row r="89" spans="1:11" ht="45.75" thickBot="1" x14ac:dyDescent="0.3">
      <c r="A89" s="22" t="s">
        <v>9</v>
      </c>
      <c r="B89" s="23">
        <v>885</v>
      </c>
      <c r="C89" s="59" t="s">
        <v>144</v>
      </c>
      <c r="D89" s="15" t="s">
        <v>25</v>
      </c>
      <c r="E89" s="16" t="s">
        <v>152</v>
      </c>
      <c r="J89" s="3" t="s">
        <v>136</v>
      </c>
      <c r="K89" s="21">
        <v>290</v>
      </c>
    </row>
    <row r="90" spans="1:11" ht="16.5" thickBot="1" x14ac:dyDescent="0.3">
      <c r="A90" s="38" t="s">
        <v>21</v>
      </c>
      <c r="B90" s="39">
        <v>14002</v>
      </c>
      <c r="D90" s="45" t="s">
        <v>17</v>
      </c>
      <c r="E90" s="46" t="s">
        <v>18</v>
      </c>
      <c r="G90" s="15" t="s">
        <v>25</v>
      </c>
      <c r="H90" s="16" t="s">
        <v>153</v>
      </c>
      <c r="J90" s="3" t="s">
        <v>142</v>
      </c>
      <c r="K90" s="21">
        <v>5032.5</v>
      </c>
    </row>
    <row r="91" spans="1:11" ht="16.5" thickBot="1" x14ac:dyDescent="0.3">
      <c r="A91" s="57" t="s">
        <v>19</v>
      </c>
      <c r="B91" s="58">
        <f>SUM(B75:B89)</f>
        <v>14001.881095273819</v>
      </c>
      <c r="D91" s="48" t="s">
        <v>96</v>
      </c>
      <c r="E91" s="56">
        <v>356.25</v>
      </c>
      <c r="G91" s="45" t="s">
        <v>17</v>
      </c>
      <c r="H91" s="46" t="s">
        <v>18</v>
      </c>
      <c r="J91" s="22" t="s">
        <v>9</v>
      </c>
      <c r="K91" s="24">
        <v>510</v>
      </c>
    </row>
    <row r="92" spans="1:11" ht="16.5" thickBot="1" x14ac:dyDescent="0.3">
      <c r="A92" s="22" t="s">
        <v>44</v>
      </c>
      <c r="B92" s="23">
        <f>B90-B91</f>
        <v>0.11890472618142667</v>
      </c>
      <c r="D92" s="3" t="s">
        <v>122</v>
      </c>
      <c r="E92" s="21">
        <v>123.75</v>
      </c>
      <c r="G92" s="48" t="s">
        <v>66</v>
      </c>
      <c r="H92" s="56">
        <v>160</v>
      </c>
      <c r="J92" s="38" t="s">
        <v>21</v>
      </c>
      <c r="K92" s="39">
        <v>12080</v>
      </c>
    </row>
    <row r="93" spans="1:11" ht="16.5" thickBot="1" x14ac:dyDescent="0.3">
      <c r="D93" s="3" t="s">
        <v>69</v>
      </c>
      <c r="E93" s="21">
        <v>675</v>
      </c>
      <c r="G93" s="3" t="s">
        <v>69</v>
      </c>
      <c r="H93" s="21">
        <v>1058.75</v>
      </c>
      <c r="J93" s="57" t="s">
        <v>19</v>
      </c>
      <c r="K93" s="58">
        <f>SUM(K83:K91)</f>
        <v>12080</v>
      </c>
    </row>
    <row r="94" spans="1:11" ht="15.75" thickBot="1" x14ac:dyDescent="0.3">
      <c r="A94" s="15" t="s">
        <v>25</v>
      </c>
      <c r="B94" s="16" t="s">
        <v>150</v>
      </c>
      <c r="D94" s="3" t="s">
        <v>151</v>
      </c>
      <c r="E94" s="21">
        <v>650</v>
      </c>
      <c r="G94" s="3" t="s">
        <v>151</v>
      </c>
      <c r="H94" s="21">
        <v>3590</v>
      </c>
      <c r="J94" s="22" t="s">
        <v>44</v>
      </c>
      <c r="K94" s="23">
        <f>K92-K93</f>
        <v>0</v>
      </c>
    </row>
    <row r="95" spans="1:11" ht="15.75" thickBot="1" x14ac:dyDescent="0.3">
      <c r="A95" s="45" t="s">
        <v>17</v>
      </c>
      <c r="B95" s="46" t="s">
        <v>18</v>
      </c>
      <c r="D95" s="3" t="s">
        <v>110</v>
      </c>
      <c r="E95" s="21">
        <v>122.5</v>
      </c>
      <c r="G95" s="3" t="s">
        <v>91</v>
      </c>
      <c r="H95" s="21">
        <v>187.5</v>
      </c>
    </row>
    <row r="96" spans="1:11" x14ac:dyDescent="0.25">
      <c r="A96" s="48" t="s">
        <v>96</v>
      </c>
      <c r="B96" s="56">
        <v>1165</v>
      </c>
      <c r="D96" s="3" t="s">
        <v>112</v>
      </c>
      <c r="E96" s="21">
        <v>187.5</v>
      </c>
      <c r="G96" s="3" t="s">
        <v>110</v>
      </c>
      <c r="H96" s="21">
        <v>61.25</v>
      </c>
      <c r="J96" s="41" t="s">
        <v>25</v>
      </c>
      <c r="K96" s="42" t="s">
        <v>154</v>
      </c>
    </row>
    <row r="97" spans="1:12" ht="15.75" thickBot="1" x14ac:dyDescent="0.3">
      <c r="A97" s="3" t="s">
        <v>91</v>
      </c>
      <c r="B97" s="21">
        <v>730</v>
      </c>
      <c r="D97" s="3" t="s">
        <v>124</v>
      </c>
      <c r="E97" s="21">
        <v>2167.5</v>
      </c>
      <c r="G97" s="3" t="s">
        <v>124</v>
      </c>
      <c r="H97" s="21">
        <v>2106.25</v>
      </c>
      <c r="J97" s="50" t="s">
        <v>17</v>
      </c>
      <c r="K97" s="51" t="s">
        <v>18</v>
      </c>
    </row>
    <row r="98" spans="1:12" x14ac:dyDescent="0.25">
      <c r="A98" s="3" t="s">
        <v>110</v>
      </c>
      <c r="B98" s="21">
        <v>183.75</v>
      </c>
      <c r="D98" s="3" t="s">
        <v>136</v>
      </c>
      <c r="E98" s="21">
        <v>1672.5</v>
      </c>
      <c r="G98" s="3" t="s">
        <v>136</v>
      </c>
      <c r="H98" s="21">
        <v>752.5</v>
      </c>
      <c r="J98" s="48" t="s">
        <v>96</v>
      </c>
      <c r="K98" s="49">
        <v>460</v>
      </c>
    </row>
    <row r="99" spans="1:12" x14ac:dyDescent="0.25">
      <c r="A99" s="3" t="s">
        <v>124</v>
      </c>
      <c r="B99" s="21">
        <v>1298.75</v>
      </c>
      <c r="D99" s="3" t="s">
        <v>142</v>
      </c>
      <c r="E99" s="21">
        <v>4015</v>
      </c>
      <c r="G99" s="3" t="s">
        <v>142</v>
      </c>
      <c r="H99" s="21">
        <v>4133.75</v>
      </c>
      <c r="J99" s="3" t="s">
        <v>122</v>
      </c>
      <c r="K99" s="4">
        <v>506.25</v>
      </c>
    </row>
    <row r="100" spans="1:12" ht="15.75" thickBot="1" x14ac:dyDescent="0.3">
      <c r="A100" s="3" t="s">
        <v>136</v>
      </c>
      <c r="B100" s="21">
        <v>2181.25</v>
      </c>
      <c r="D100" s="3" t="s">
        <v>102</v>
      </c>
      <c r="E100" s="21">
        <v>250</v>
      </c>
      <c r="G100" s="22" t="s">
        <v>102</v>
      </c>
      <c r="H100" s="24">
        <v>250</v>
      </c>
      <c r="J100" s="3" t="s">
        <v>66</v>
      </c>
      <c r="K100" s="4">
        <v>2188.75</v>
      </c>
    </row>
    <row r="101" spans="1:12" ht="16.5" thickBot="1" x14ac:dyDescent="0.3">
      <c r="A101" s="3" t="s">
        <v>142</v>
      </c>
      <c r="B101" s="21">
        <v>3441.25</v>
      </c>
      <c r="D101" s="22" t="s">
        <v>9</v>
      </c>
      <c r="E101" s="24">
        <v>62.5</v>
      </c>
      <c r="G101" s="38" t="s">
        <v>21</v>
      </c>
      <c r="H101" s="39">
        <v>12303</v>
      </c>
      <c r="J101" s="3" t="s">
        <v>69</v>
      </c>
      <c r="K101" s="4">
        <v>1012.5</v>
      </c>
    </row>
    <row r="102" spans="1:12" ht="15.75" x14ac:dyDescent="0.25">
      <c r="A102" s="3" t="s">
        <v>102</v>
      </c>
      <c r="B102" s="21">
        <v>510</v>
      </c>
      <c r="D102" s="38" t="s">
        <v>21</v>
      </c>
      <c r="E102" s="39">
        <v>10282.5</v>
      </c>
      <c r="G102" s="57" t="s">
        <v>19</v>
      </c>
      <c r="H102" s="58">
        <f>SUM(H92:H100)</f>
        <v>12300</v>
      </c>
      <c r="J102" s="3" t="s">
        <v>151</v>
      </c>
      <c r="K102" s="4">
        <v>3900</v>
      </c>
      <c r="L102" s="40">
        <f>K102-3945</f>
        <v>-45</v>
      </c>
    </row>
    <row r="103" spans="1:12" ht="16.5" thickBot="1" x14ac:dyDescent="0.3">
      <c r="A103" s="22" t="s">
        <v>9</v>
      </c>
      <c r="B103" s="24">
        <v>125</v>
      </c>
      <c r="D103" s="57" t="s">
        <v>19</v>
      </c>
      <c r="E103" s="58">
        <f>SUM(E87:E101)</f>
        <v>10282.5</v>
      </c>
      <c r="G103" s="22" t="s">
        <v>44</v>
      </c>
      <c r="H103" s="23">
        <f>H101-H102</f>
        <v>3</v>
      </c>
      <c r="J103" s="3" t="s">
        <v>124</v>
      </c>
      <c r="K103" s="4">
        <v>1431.25</v>
      </c>
    </row>
    <row r="104" spans="1:12" ht="16.5" thickBot="1" x14ac:dyDescent="0.3">
      <c r="A104" s="38" t="s">
        <v>21</v>
      </c>
      <c r="B104" s="39">
        <v>9635</v>
      </c>
      <c r="D104" s="22" t="s">
        <v>44</v>
      </c>
      <c r="E104" s="23">
        <f>E102-E103</f>
        <v>0</v>
      </c>
      <c r="J104" s="3" t="s">
        <v>127</v>
      </c>
      <c r="K104" s="4">
        <v>356.25</v>
      </c>
    </row>
    <row r="105" spans="1:12" ht="15.75" x14ac:dyDescent="0.25">
      <c r="A105" s="57" t="s">
        <v>19</v>
      </c>
      <c r="B105" s="58">
        <f>SUM(B96:B103)</f>
        <v>9635</v>
      </c>
      <c r="J105" s="3" t="s">
        <v>142</v>
      </c>
      <c r="K105" s="4">
        <v>2581.25</v>
      </c>
    </row>
    <row r="106" spans="1:12" ht="15.75" thickBot="1" x14ac:dyDescent="0.3">
      <c r="A106" s="22" t="s">
        <v>44</v>
      </c>
      <c r="B106" s="23">
        <f>B104-B105</f>
        <v>0</v>
      </c>
      <c r="J106" s="3" t="s">
        <v>50</v>
      </c>
      <c r="K106" s="4">
        <v>367.5</v>
      </c>
    </row>
    <row r="107" spans="1:12" x14ac:dyDescent="0.25">
      <c r="J107" s="3" t="s">
        <v>102</v>
      </c>
      <c r="K107" s="4">
        <v>424.0625</v>
      </c>
    </row>
    <row r="108" spans="1:12" ht="15.75" thickBot="1" x14ac:dyDescent="0.3">
      <c r="J108" s="22" t="s">
        <v>9</v>
      </c>
      <c r="K108" s="23">
        <v>187.5</v>
      </c>
    </row>
    <row r="109" spans="1:12" ht="15.75" x14ac:dyDescent="0.25">
      <c r="A109" s="41" t="s">
        <v>25</v>
      </c>
      <c r="B109" s="42" t="s">
        <v>155</v>
      </c>
      <c r="D109" s="41" t="s">
        <v>25</v>
      </c>
      <c r="E109" s="42" t="s">
        <v>163</v>
      </c>
      <c r="J109" s="38" t="s">
        <v>21</v>
      </c>
      <c r="K109" s="39">
        <v>13134</v>
      </c>
    </row>
    <row r="110" spans="1:12" ht="16.5" thickBot="1" x14ac:dyDescent="0.3">
      <c r="A110" s="50" t="s">
        <v>17</v>
      </c>
      <c r="B110" s="51" t="s">
        <v>18</v>
      </c>
      <c r="D110" s="50" t="s">
        <v>17</v>
      </c>
      <c r="E110" s="51" t="s">
        <v>18</v>
      </c>
      <c r="J110" s="57" t="s">
        <v>19</v>
      </c>
      <c r="K110" s="58">
        <f>SUM(K98:K108)</f>
        <v>13415.3125</v>
      </c>
    </row>
    <row r="111" spans="1:12" ht="15.75" thickBot="1" x14ac:dyDescent="0.3">
      <c r="A111" s="48" t="s">
        <v>96</v>
      </c>
      <c r="B111" s="49">
        <v>516.25</v>
      </c>
      <c r="D111" s="48" t="s">
        <v>96</v>
      </c>
      <c r="E111" s="49">
        <v>700</v>
      </c>
      <c r="J111" s="22" t="s">
        <v>44</v>
      </c>
      <c r="K111" s="23">
        <f>K109-K110</f>
        <v>-281.3125</v>
      </c>
    </row>
    <row r="112" spans="1:12" x14ac:dyDescent="0.25">
      <c r="A112" s="3" t="s">
        <v>122</v>
      </c>
      <c r="B112" s="4">
        <v>200</v>
      </c>
      <c r="D112" s="3" t="s">
        <v>122</v>
      </c>
      <c r="E112" s="4">
        <v>320</v>
      </c>
    </row>
    <row r="113" spans="1:11" x14ac:dyDescent="0.25">
      <c r="A113" s="3" t="s">
        <v>66</v>
      </c>
      <c r="B113" s="4">
        <v>4476.875</v>
      </c>
      <c r="D113" s="3" t="s">
        <v>66</v>
      </c>
      <c r="E113" s="4">
        <v>5985</v>
      </c>
    </row>
    <row r="114" spans="1:11" x14ac:dyDescent="0.25">
      <c r="A114" s="3" t="s">
        <v>69</v>
      </c>
      <c r="B114" s="4">
        <v>1052.5</v>
      </c>
      <c r="D114" s="3" t="s">
        <v>151</v>
      </c>
      <c r="E114" s="4">
        <v>2778.75</v>
      </c>
    </row>
    <row r="115" spans="1:11" x14ac:dyDescent="0.25">
      <c r="A115" s="61" t="s">
        <v>157</v>
      </c>
      <c r="B115" s="4">
        <v>3250</v>
      </c>
      <c r="D115" s="61" t="s">
        <v>124</v>
      </c>
      <c r="E115" s="4">
        <v>770</v>
      </c>
    </row>
    <row r="116" spans="1:11" x14ac:dyDescent="0.25">
      <c r="A116" s="3" t="s">
        <v>84</v>
      </c>
      <c r="B116" s="4">
        <v>311.25</v>
      </c>
      <c r="D116" s="3" t="s">
        <v>127</v>
      </c>
      <c r="E116" s="4">
        <v>1230</v>
      </c>
    </row>
    <row r="117" spans="1:11" x14ac:dyDescent="0.25">
      <c r="A117" s="61" t="s">
        <v>158</v>
      </c>
      <c r="B117" s="4">
        <v>1062.5</v>
      </c>
      <c r="D117" s="61" t="s">
        <v>164</v>
      </c>
      <c r="E117" s="4">
        <v>183.75</v>
      </c>
    </row>
    <row r="118" spans="1:11" x14ac:dyDescent="0.25">
      <c r="A118" s="3" t="s">
        <v>127</v>
      </c>
      <c r="B118" s="4">
        <v>1235</v>
      </c>
      <c r="D118" s="3" t="s">
        <v>156</v>
      </c>
      <c r="E118" s="4">
        <v>167.5</v>
      </c>
    </row>
    <row r="119" spans="1:11" x14ac:dyDescent="0.25">
      <c r="A119" s="3" t="s">
        <v>156</v>
      </c>
      <c r="B119" s="4">
        <v>78.75</v>
      </c>
      <c r="D119" s="3" t="s">
        <v>102</v>
      </c>
      <c r="E119" s="4">
        <v>510</v>
      </c>
    </row>
    <row r="120" spans="1:11" x14ac:dyDescent="0.25">
      <c r="A120" s="3" t="s">
        <v>102</v>
      </c>
      <c r="B120" s="4">
        <v>250</v>
      </c>
      <c r="D120" s="3" t="s">
        <v>9</v>
      </c>
      <c r="E120" s="4">
        <v>710</v>
      </c>
    </row>
    <row r="121" spans="1:11" ht="15.75" thickBot="1" x14ac:dyDescent="0.3">
      <c r="A121" s="22" t="s">
        <v>9</v>
      </c>
      <c r="B121" s="23">
        <v>206</v>
      </c>
      <c r="D121" s="22"/>
      <c r="E121" s="23"/>
    </row>
    <row r="122" spans="1:11" ht="15.75" x14ac:dyDescent="0.25">
      <c r="A122" s="38" t="s">
        <v>21</v>
      </c>
      <c r="B122" s="39">
        <v>12660</v>
      </c>
      <c r="D122" s="38" t="s">
        <v>21</v>
      </c>
      <c r="E122" s="39">
        <v>13331</v>
      </c>
    </row>
    <row r="123" spans="1:11" ht="15.75" x14ac:dyDescent="0.25">
      <c r="A123" s="57" t="s">
        <v>19</v>
      </c>
      <c r="B123" s="58">
        <f>+SUM(B111:B121)</f>
        <v>12639.125</v>
      </c>
      <c r="D123" s="57" t="s">
        <v>19</v>
      </c>
      <c r="E123" s="58">
        <f>+SUM(E111:E121)</f>
        <v>13355</v>
      </c>
    </row>
    <row r="124" spans="1:11" ht="15.75" thickBot="1" x14ac:dyDescent="0.3">
      <c r="A124" s="22" t="s">
        <v>44</v>
      </c>
      <c r="B124" s="23">
        <f>B122-B123</f>
        <v>20.875</v>
      </c>
      <c r="D124" s="22" t="s">
        <v>44</v>
      </c>
      <c r="E124" s="23">
        <f>E122-E123</f>
        <v>-24</v>
      </c>
    </row>
    <row r="127" spans="1:11" ht="15.75" thickBot="1" x14ac:dyDescent="0.3"/>
    <row r="128" spans="1:11" x14ac:dyDescent="0.25">
      <c r="A128" s="62" t="s">
        <v>25</v>
      </c>
      <c r="B128" s="63" t="s">
        <v>165</v>
      </c>
      <c r="D128" s="62" t="s">
        <v>25</v>
      </c>
      <c r="E128" s="63" t="s">
        <v>166</v>
      </c>
      <c r="G128" s="62" t="s">
        <v>25</v>
      </c>
      <c r="H128" s="63" t="s">
        <v>168</v>
      </c>
      <c r="J128" s="62" t="s">
        <v>25</v>
      </c>
      <c r="K128" s="63" t="s">
        <v>169</v>
      </c>
    </row>
    <row r="129" spans="1:11" ht="15.75" thickBot="1" x14ac:dyDescent="0.3">
      <c r="A129" s="64" t="s">
        <v>17</v>
      </c>
      <c r="B129" s="65" t="s">
        <v>18</v>
      </c>
      <c r="D129" s="64" t="s">
        <v>17</v>
      </c>
      <c r="E129" s="65" t="s">
        <v>18</v>
      </c>
      <c r="G129" s="64" t="s">
        <v>17</v>
      </c>
      <c r="H129" s="65" t="s">
        <v>18</v>
      </c>
      <c r="J129" s="64" t="s">
        <v>17</v>
      </c>
      <c r="K129" s="65" t="s">
        <v>18</v>
      </c>
    </row>
    <row r="130" spans="1:11" x14ac:dyDescent="0.25">
      <c r="A130" s="48" t="s">
        <v>28</v>
      </c>
      <c r="B130" s="49">
        <v>220</v>
      </c>
      <c r="D130" s="48" t="s">
        <v>96</v>
      </c>
      <c r="E130" s="49">
        <v>291.66666666666663</v>
      </c>
      <c r="G130" s="48" t="s">
        <v>96</v>
      </c>
      <c r="H130" s="49">
        <v>282.5</v>
      </c>
      <c r="J130" s="48" t="s">
        <v>122</v>
      </c>
      <c r="K130" s="49">
        <v>375</v>
      </c>
    </row>
    <row r="131" spans="1:11" x14ac:dyDescent="0.25">
      <c r="A131" s="3" t="s">
        <v>96</v>
      </c>
      <c r="B131" s="4">
        <v>470</v>
      </c>
      <c r="D131" s="3" t="s">
        <v>122</v>
      </c>
      <c r="E131" s="4">
        <v>400.00000000000006</v>
      </c>
      <c r="G131" s="3" t="s">
        <v>122</v>
      </c>
      <c r="H131" s="4">
        <v>300</v>
      </c>
      <c r="J131" s="3" t="s">
        <v>66</v>
      </c>
      <c r="K131" s="4">
        <v>5223.75</v>
      </c>
    </row>
    <row r="132" spans="1:11" x14ac:dyDescent="0.25">
      <c r="A132" s="3" t="s">
        <v>122</v>
      </c>
      <c r="B132" s="4">
        <v>825</v>
      </c>
      <c r="D132" s="3" t="s">
        <v>66</v>
      </c>
      <c r="E132" s="4">
        <v>2116.666666666667</v>
      </c>
      <c r="G132" s="3" t="s">
        <v>66</v>
      </c>
      <c r="H132" s="4">
        <v>1905</v>
      </c>
      <c r="J132" s="3" t="s">
        <v>99</v>
      </c>
      <c r="K132" s="4">
        <v>480</v>
      </c>
    </row>
    <row r="133" spans="1:11" x14ac:dyDescent="0.25">
      <c r="A133" s="3" t="s">
        <v>66</v>
      </c>
      <c r="B133" s="4">
        <v>5051.25</v>
      </c>
      <c r="D133" s="3" t="s">
        <v>151</v>
      </c>
      <c r="E133" s="4">
        <v>1990</v>
      </c>
      <c r="G133" s="3" t="s">
        <v>151</v>
      </c>
      <c r="H133" s="4">
        <v>1143.75</v>
      </c>
      <c r="J133" s="3" t="s">
        <v>124</v>
      </c>
      <c r="K133" s="4">
        <v>1370</v>
      </c>
    </row>
    <row r="134" spans="1:11" x14ac:dyDescent="0.25">
      <c r="A134" s="61" t="s">
        <v>151</v>
      </c>
      <c r="B134" s="4">
        <v>1073.75</v>
      </c>
      <c r="D134" s="61" t="s">
        <v>124</v>
      </c>
      <c r="E134" s="4">
        <v>1150</v>
      </c>
      <c r="G134" s="61" t="s">
        <v>99</v>
      </c>
      <c r="H134" s="4">
        <v>235</v>
      </c>
      <c r="J134" s="61" t="s">
        <v>127</v>
      </c>
      <c r="K134" s="4">
        <v>1072.5</v>
      </c>
    </row>
    <row r="135" spans="1:11" x14ac:dyDescent="0.25">
      <c r="A135" s="3" t="s">
        <v>110</v>
      </c>
      <c r="B135" s="4">
        <v>1668.75</v>
      </c>
      <c r="D135" s="3" t="s">
        <v>127</v>
      </c>
      <c r="E135" s="4">
        <v>645</v>
      </c>
      <c r="G135" s="3" t="s">
        <v>124</v>
      </c>
      <c r="H135" s="4">
        <v>997.5</v>
      </c>
      <c r="J135" s="3" t="s">
        <v>133</v>
      </c>
      <c r="K135" s="4">
        <v>833.75</v>
      </c>
    </row>
    <row r="136" spans="1:11" x14ac:dyDescent="0.25">
      <c r="A136" s="61" t="s">
        <v>124</v>
      </c>
      <c r="B136" s="4">
        <v>451.25</v>
      </c>
      <c r="D136" s="61" t="s">
        <v>133</v>
      </c>
      <c r="E136" s="4">
        <v>1116.6666666666667</v>
      </c>
      <c r="G136" s="61" t="s">
        <v>127</v>
      </c>
      <c r="H136" s="4">
        <v>437.5</v>
      </c>
      <c r="J136" s="61" t="s">
        <v>137</v>
      </c>
      <c r="K136" s="4">
        <v>690</v>
      </c>
    </row>
    <row r="137" spans="1:11" x14ac:dyDescent="0.25">
      <c r="A137" s="3" t="s">
        <v>127</v>
      </c>
      <c r="B137" s="4">
        <v>863.75</v>
      </c>
      <c r="D137" s="3" t="s">
        <v>167</v>
      </c>
      <c r="E137" s="4">
        <v>3779.9999999999995</v>
      </c>
      <c r="G137" s="3" t="s">
        <v>133</v>
      </c>
      <c r="H137" s="4">
        <v>973.75</v>
      </c>
      <c r="J137" s="3" t="s">
        <v>156</v>
      </c>
      <c r="K137" s="4">
        <v>888.75</v>
      </c>
    </row>
    <row r="138" spans="1:11" x14ac:dyDescent="0.25">
      <c r="A138" s="3" t="s">
        <v>133</v>
      </c>
      <c r="B138" s="4">
        <v>757.5</v>
      </c>
      <c r="D138" s="3" t="s">
        <v>102</v>
      </c>
      <c r="E138" s="4">
        <v>510</v>
      </c>
      <c r="G138" s="3" t="s">
        <v>156</v>
      </c>
      <c r="H138" s="4">
        <v>938.75</v>
      </c>
      <c r="J138" s="3" t="s">
        <v>167</v>
      </c>
      <c r="K138" s="4">
        <v>2412.5</v>
      </c>
    </row>
    <row r="139" spans="1:11" x14ac:dyDescent="0.25">
      <c r="A139" s="3" t="s">
        <v>156</v>
      </c>
      <c r="B139" s="4">
        <v>172.5</v>
      </c>
      <c r="D139" s="3"/>
      <c r="E139" s="4"/>
      <c r="G139" s="3" t="s">
        <v>167</v>
      </c>
      <c r="H139" s="4">
        <v>1495</v>
      </c>
      <c r="J139" s="3" t="s">
        <v>102</v>
      </c>
      <c r="K139" s="4">
        <v>445</v>
      </c>
    </row>
    <row r="140" spans="1:11" ht="15.75" thickBot="1" x14ac:dyDescent="0.3">
      <c r="A140" s="22" t="s">
        <v>102</v>
      </c>
      <c r="B140" s="23">
        <v>463.125</v>
      </c>
      <c r="D140" s="22"/>
      <c r="E140" s="23"/>
      <c r="G140" s="22" t="s">
        <v>102</v>
      </c>
      <c r="H140" s="23">
        <v>478.75</v>
      </c>
      <c r="J140" s="22"/>
      <c r="K140" s="22"/>
    </row>
    <row r="141" spans="1:11" ht="15.75" x14ac:dyDescent="0.25">
      <c r="A141" s="38" t="s">
        <v>21</v>
      </c>
      <c r="B141" s="39">
        <v>12019</v>
      </c>
      <c r="D141" s="38" t="s">
        <v>21</v>
      </c>
      <c r="E141" s="39">
        <v>12000</v>
      </c>
      <c r="G141" s="38" t="s">
        <v>21</v>
      </c>
      <c r="H141" s="39">
        <v>9188</v>
      </c>
      <c r="J141" s="38" t="s">
        <v>21</v>
      </c>
      <c r="K141" s="39">
        <v>13795</v>
      </c>
    </row>
    <row r="142" spans="1:11" ht="15.75" x14ac:dyDescent="0.25">
      <c r="A142" s="57" t="s">
        <v>19</v>
      </c>
      <c r="B142" s="58">
        <f>+SUM(B130:B140)</f>
        <v>12016.875</v>
      </c>
      <c r="D142" s="57" t="s">
        <v>19</v>
      </c>
      <c r="E142" s="58">
        <f>+SUM(E130:E140)</f>
        <v>12000</v>
      </c>
      <c r="G142" s="57" t="s">
        <v>19</v>
      </c>
      <c r="H142" s="58">
        <f>+SUM(H130:H140)</f>
        <v>9187.5</v>
      </c>
      <c r="J142" s="57" t="s">
        <v>19</v>
      </c>
      <c r="K142" s="58">
        <f>+SUM(K130:K140)</f>
        <v>13791.25</v>
      </c>
    </row>
    <row r="143" spans="1:11" ht="15.75" thickBot="1" x14ac:dyDescent="0.3">
      <c r="A143" s="22" t="s">
        <v>44</v>
      </c>
      <c r="B143" s="23">
        <f>B141-B142</f>
        <v>2.125</v>
      </c>
      <c r="D143" s="22" t="s">
        <v>44</v>
      </c>
      <c r="E143" s="23">
        <f>E141-E142</f>
        <v>0</v>
      </c>
      <c r="G143" s="22" t="s">
        <v>44</v>
      </c>
      <c r="H143" s="23">
        <f>H141-H142</f>
        <v>0.5</v>
      </c>
      <c r="J143" s="22" t="s">
        <v>44</v>
      </c>
      <c r="K143" s="23">
        <f>K141-K142</f>
        <v>3.75</v>
      </c>
    </row>
    <row r="145" spans="1:11" ht="15.75" thickBot="1" x14ac:dyDescent="0.3"/>
    <row r="146" spans="1:11" x14ac:dyDescent="0.25">
      <c r="A146" s="62" t="s">
        <v>25</v>
      </c>
      <c r="B146" s="63" t="s">
        <v>170</v>
      </c>
      <c r="D146" s="62" t="s">
        <v>25</v>
      </c>
      <c r="E146" s="63" t="s">
        <v>171</v>
      </c>
      <c r="G146" s="62" t="s">
        <v>25</v>
      </c>
      <c r="H146" s="63" t="s">
        <v>173</v>
      </c>
      <c r="J146" s="62" t="s">
        <v>25</v>
      </c>
      <c r="K146" s="63" t="s">
        <v>175</v>
      </c>
    </row>
    <row r="147" spans="1:11" ht="15.75" thickBot="1" x14ac:dyDescent="0.3">
      <c r="A147" s="64" t="s">
        <v>17</v>
      </c>
      <c r="B147" s="65" t="s">
        <v>18</v>
      </c>
      <c r="D147" s="64" t="s">
        <v>17</v>
      </c>
      <c r="E147" s="65" t="s">
        <v>18</v>
      </c>
      <c r="G147" s="64" t="s">
        <v>17</v>
      </c>
      <c r="H147" s="65" t="s">
        <v>18</v>
      </c>
      <c r="J147" s="64" t="s">
        <v>17</v>
      </c>
      <c r="K147" s="65" t="s">
        <v>18</v>
      </c>
    </row>
    <row r="148" spans="1:11" x14ac:dyDescent="0.25">
      <c r="A148" s="48" t="s">
        <v>66</v>
      </c>
      <c r="B148" s="49">
        <v>2417.5</v>
      </c>
      <c r="D148" s="48" t="s">
        <v>66</v>
      </c>
      <c r="E148" s="49">
        <v>1325</v>
      </c>
      <c r="G148" s="48" t="s">
        <v>66</v>
      </c>
      <c r="H148" s="49">
        <v>443.75</v>
      </c>
      <c r="J148" s="48" t="s">
        <v>66</v>
      </c>
      <c r="K148" s="49">
        <v>45</v>
      </c>
    </row>
    <row r="149" spans="1:11" x14ac:dyDescent="0.25">
      <c r="A149" s="3" t="s">
        <v>99</v>
      </c>
      <c r="B149" s="4">
        <v>217.5</v>
      </c>
      <c r="D149" s="3" t="s">
        <v>124</v>
      </c>
      <c r="E149" s="4">
        <v>2853.75</v>
      </c>
      <c r="G149" s="3" t="s">
        <v>124</v>
      </c>
      <c r="H149" s="4">
        <v>1208.75</v>
      </c>
      <c r="J149" s="3" t="s">
        <v>124</v>
      </c>
      <c r="K149" s="4">
        <v>140</v>
      </c>
    </row>
    <row r="150" spans="1:11" x14ac:dyDescent="0.25">
      <c r="A150" s="3" t="s">
        <v>124</v>
      </c>
      <c r="B150" s="4">
        <v>2742.5</v>
      </c>
      <c r="D150" s="3" t="s">
        <v>133</v>
      </c>
      <c r="E150" s="4">
        <v>235</v>
      </c>
      <c r="G150" s="3" t="s">
        <v>133</v>
      </c>
      <c r="H150" s="4">
        <v>1335</v>
      </c>
      <c r="J150" s="3" t="s">
        <v>133</v>
      </c>
      <c r="K150" s="4">
        <v>675</v>
      </c>
    </row>
    <row r="151" spans="1:11" x14ac:dyDescent="0.25">
      <c r="A151" s="3" t="s">
        <v>133</v>
      </c>
      <c r="B151" s="4">
        <v>212.5</v>
      </c>
      <c r="D151" s="3" t="s">
        <v>137</v>
      </c>
      <c r="E151" s="4">
        <v>1761.25</v>
      </c>
      <c r="G151" s="3" t="s">
        <v>137</v>
      </c>
      <c r="H151" s="4">
        <v>733.75</v>
      </c>
      <c r="J151" s="3" t="s">
        <v>137</v>
      </c>
      <c r="K151" s="4">
        <v>677.5</v>
      </c>
    </row>
    <row r="152" spans="1:11" x14ac:dyDescent="0.25">
      <c r="A152" s="61" t="s">
        <v>137</v>
      </c>
      <c r="B152" s="4">
        <v>3957.5</v>
      </c>
      <c r="D152" s="61" t="s">
        <v>139</v>
      </c>
      <c r="E152" s="4">
        <v>4171.25</v>
      </c>
      <c r="G152" s="61" t="s">
        <v>139</v>
      </c>
      <c r="H152" s="4">
        <v>2231.25</v>
      </c>
      <c r="J152" s="61" t="s">
        <v>139</v>
      </c>
      <c r="K152" s="4">
        <v>1150</v>
      </c>
    </row>
    <row r="153" spans="1:11" x14ac:dyDescent="0.25">
      <c r="A153" s="3" t="s">
        <v>139</v>
      </c>
      <c r="B153" s="4">
        <v>1388.75</v>
      </c>
      <c r="D153" s="3" t="s">
        <v>156</v>
      </c>
      <c r="E153" s="4">
        <v>362.5</v>
      </c>
      <c r="G153" s="3" t="s">
        <v>156</v>
      </c>
      <c r="H153" s="4">
        <v>117.5</v>
      </c>
      <c r="J153" s="3" t="s">
        <v>156</v>
      </c>
      <c r="K153" s="4">
        <v>1461.25</v>
      </c>
    </row>
    <row r="154" spans="1:11" x14ac:dyDescent="0.25">
      <c r="A154" s="61" t="s">
        <v>156</v>
      </c>
      <c r="B154" s="4">
        <v>867.5</v>
      </c>
      <c r="D154" s="61" t="s">
        <v>172</v>
      </c>
      <c r="E154" s="4">
        <v>1887.5</v>
      </c>
      <c r="G154" s="61" t="s">
        <v>172</v>
      </c>
      <c r="H154" s="4">
        <v>5392.5</v>
      </c>
      <c r="J154" s="61" t="s">
        <v>172</v>
      </c>
      <c r="K154" s="4">
        <v>3536.25</v>
      </c>
    </row>
    <row r="155" spans="1:11" x14ac:dyDescent="0.25">
      <c r="A155" s="3" t="s">
        <v>167</v>
      </c>
      <c r="B155" s="4">
        <v>372.5</v>
      </c>
      <c r="D155" s="3" t="s">
        <v>102</v>
      </c>
      <c r="E155" s="4">
        <v>510</v>
      </c>
      <c r="G155" s="3" t="s">
        <v>174</v>
      </c>
      <c r="H155" s="4">
        <v>1301.25</v>
      </c>
      <c r="J155" s="3" t="s">
        <v>174</v>
      </c>
      <c r="K155" s="4">
        <v>1437.5</v>
      </c>
    </row>
    <row r="156" spans="1:11" x14ac:dyDescent="0.25">
      <c r="A156" s="3" t="s">
        <v>102</v>
      </c>
      <c r="B156" s="4">
        <v>463.125</v>
      </c>
      <c r="D156" s="3" t="s">
        <v>9</v>
      </c>
      <c r="E156" s="4">
        <v>551.25</v>
      </c>
      <c r="G156" s="3" t="s">
        <v>102</v>
      </c>
      <c r="H156" s="4">
        <v>510</v>
      </c>
      <c r="J156" s="3" t="s">
        <v>176</v>
      </c>
      <c r="K156" s="4">
        <v>2091.25</v>
      </c>
    </row>
    <row r="157" spans="1:11" x14ac:dyDescent="0.25">
      <c r="A157" s="3" t="s">
        <v>9</v>
      </c>
      <c r="B157" s="4">
        <v>428.75</v>
      </c>
      <c r="D157" s="3"/>
      <c r="E157" s="4"/>
      <c r="G157" s="3" t="s">
        <v>9</v>
      </c>
      <c r="H157" s="4">
        <v>490</v>
      </c>
      <c r="J157" s="3" t="s">
        <v>177</v>
      </c>
      <c r="K157" s="4">
        <v>395</v>
      </c>
    </row>
    <row r="158" spans="1:11" ht="15.75" thickBot="1" x14ac:dyDescent="0.3">
      <c r="A158" s="22"/>
      <c r="B158" s="22"/>
      <c r="D158" s="66"/>
      <c r="E158" s="22"/>
      <c r="G158" s="66"/>
      <c r="H158" s="22"/>
      <c r="J158" s="3" t="s">
        <v>178</v>
      </c>
      <c r="K158" s="4">
        <v>1192.5</v>
      </c>
    </row>
    <row r="159" spans="1:11" ht="15.75" x14ac:dyDescent="0.25">
      <c r="A159" s="38" t="s">
        <v>21</v>
      </c>
      <c r="B159" s="39">
        <v>13068</v>
      </c>
      <c r="D159" s="38" t="s">
        <v>21</v>
      </c>
      <c r="E159" s="39">
        <v>13660</v>
      </c>
      <c r="G159" s="38" t="s">
        <v>21</v>
      </c>
      <c r="H159" s="39">
        <v>13767</v>
      </c>
      <c r="J159" s="3" t="s">
        <v>102</v>
      </c>
      <c r="K159" s="4">
        <v>461.25</v>
      </c>
    </row>
    <row r="160" spans="1:11" ht="16.5" thickBot="1" x14ac:dyDescent="0.3">
      <c r="A160" s="57" t="s">
        <v>19</v>
      </c>
      <c r="B160" s="58">
        <f>+SUM(B148:B158)</f>
        <v>13068.125</v>
      </c>
      <c r="D160" s="57" t="s">
        <v>19</v>
      </c>
      <c r="E160" s="58">
        <f>+SUM(E148:E158)</f>
        <v>13657.5</v>
      </c>
      <c r="G160" s="57" t="s">
        <v>19</v>
      </c>
      <c r="H160" s="58">
        <f>+SUM(H148:H158)</f>
        <v>13763.75</v>
      </c>
      <c r="J160" s="66" t="s">
        <v>9</v>
      </c>
      <c r="K160" s="22">
        <v>490</v>
      </c>
    </row>
    <row r="161" spans="1:11" ht="16.5" thickBot="1" x14ac:dyDescent="0.3">
      <c r="A161" s="22" t="s">
        <v>44</v>
      </c>
      <c r="B161" s="23">
        <f>B159-B160</f>
        <v>-0.125</v>
      </c>
      <c r="D161" s="22" t="s">
        <v>44</v>
      </c>
      <c r="E161" s="23">
        <f>E159-E160</f>
        <v>2.5</v>
      </c>
      <c r="G161" s="22" t="s">
        <v>44</v>
      </c>
      <c r="H161" s="23">
        <f>H159-H160</f>
        <v>3.25</v>
      </c>
      <c r="J161" s="38" t="s">
        <v>21</v>
      </c>
      <c r="K161" s="39">
        <v>13756</v>
      </c>
    </row>
    <row r="162" spans="1:11" ht="15.75" x14ac:dyDescent="0.25">
      <c r="J162" s="57" t="s">
        <v>19</v>
      </c>
      <c r="K162" s="58">
        <f>+SUM(K148:K160)</f>
        <v>13752.5</v>
      </c>
    </row>
    <row r="163" spans="1:11" ht="15.75" thickBot="1" x14ac:dyDescent="0.3">
      <c r="J163" s="22" t="s">
        <v>44</v>
      </c>
      <c r="K163" s="23">
        <f>K161-K162</f>
        <v>3.5</v>
      </c>
    </row>
    <row r="165" spans="1:11" ht="15.75" thickBot="1" x14ac:dyDescent="0.3"/>
    <row r="166" spans="1:11" x14ac:dyDescent="0.25">
      <c r="A166" s="62" t="s">
        <v>25</v>
      </c>
      <c r="B166" s="63" t="s">
        <v>179</v>
      </c>
    </row>
    <row r="167" spans="1:11" ht="15.75" thickBot="1" x14ac:dyDescent="0.3">
      <c r="A167" s="64" t="s">
        <v>17</v>
      </c>
      <c r="B167" s="65" t="s">
        <v>18</v>
      </c>
    </row>
    <row r="168" spans="1:11" x14ac:dyDescent="0.25">
      <c r="A168" s="48" t="s">
        <v>133</v>
      </c>
      <c r="B168" s="49">
        <v>720</v>
      </c>
    </row>
    <row r="169" spans="1:11" x14ac:dyDescent="0.25">
      <c r="A169" s="3" t="s">
        <v>137</v>
      </c>
      <c r="B169" s="4">
        <v>822.5</v>
      </c>
    </row>
    <row r="170" spans="1:11" x14ac:dyDescent="0.25">
      <c r="A170" s="3" t="s">
        <v>172</v>
      </c>
      <c r="B170" s="4">
        <v>4178.75</v>
      </c>
    </row>
    <row r="171" spans="1:11" x14ac:dyDescent="0.25">
      <c r="A171" s="3" t="s">
        <v>174</v>
      </c>
      <c r="B171" s="4">
        <v>1986.25</v>
      </c>
    </row>
    <row r="172" spans="1:11" x14ac:dyDescent="0.25">
      <c r="A172" s="61" t="s">
        <v>176</v>
      </c>
      <c r="B172" s="4">
        <v>3738.75</v>
      </c>
    </row>
    <row r="173" spans="1:11" x14ac:dyDescent="0.25">
      <c r="A173" s="3" t="s">
        <v>177</v>
      </c>
      <c r="B173" s="4">
        <v>466.875</v>
      </c>
    </row>
    <row r="174" spans="1:11" x14ac:dyDescent="0.25">
      <c r="A174" s="61" t="s">
        <v>178</v>
      </c>
      <c r="B174" s="4">
        <v>167.5</v>
      </c>
    </row>
    <row r="175" spans="1:11" x14ac:dyDescent="0.25">
      <c r="A175" s="3" t="s">
        <v>180</v>
      </c>
      <c r="B175" s="4">
        <v>560</v>
      </c>
    </row>
    <row r="176" spans="1:11" x14ac:dyDescent="0.25">
      <c r="A176" s="3" t="s">
        <v>181</v>
      </c>
      <c r="B176" s="4">
        <v>306.25</v>
      </c>
    </row>
    <row r="177" spans="1:2" x14ac:dyDescent="0.25">
      <c r="A177" s="3" t="s">
        <v>102</v>
      </c>
      <c r="B177" s="4">
        <v>510</v>
      </c>
    </row>
    <row r="178" spans="1:2" x14ac:dyDescent="0.25">
      <c r="A178" s="3"/>
      <c r="B178" s="4"/>
    </row>
    <row r="179" spans="1:2" x14ac:dyDescent="0.25">
      <c r="A179" s="3"/>
      <c r="B179" s="4"/>
    </row>
    <row r="180" spans="1:2" ht="15.75" thickBot="1" x14ac:dyDescent="0.3">
      <c r="A180" s="66"/>
      <c r="B180" s="22"/>
    </row>
    <row r="181" spans="1:2" ht="15.75" x14ac:dyDescent="0.25">
      <c r="A181" s="38" t="s">
        <v>21</v>
      </c>
      <c r="B181" s="39">
        <v>13600</v>
      </c>
    </row>
    <row r="182" spans="1:2" ht="15.75" x14ac:dyDescent="0.25">
      <c r="A182" s="57" t="s">
        <v>19</v>
      </c>
      <c r="B182" s="58">
        <f>+SUM(B168:B180)</f>
        <v>13456.875</v>
      </c>
    </row>
    <row r="183" spans="1:2" ht="15.75" thickBot="1" x14ac:dyDescent="0.3">
      <c r="A183" s="22" t="s">
        <v>44</v>
      </c>
      <c r="B183" s="23">
        <f>B181-B182</f>
        <v>143.125</v>
      </c>
    </row>
  </sheetData>
  <pageMargins left="0.25" right="0.25" top="0.75" bottom="0.75" header="0.3" footer="0.3"/>
  <pageSetup paperSize="9" scale="41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A1E0-657E-41D6-A0BF-68217A7AE847}">
  <dimension ref="A1:B14"/>
  <sheetViews>
    <sheetView workbookViewId="0">
      <selection sqref="A1:B14"/>
    </sheetView>
  </sheetViews>
  <sheetFormatPr defaultRowHeight="15" x14ac:dyDescent="0.25"/>
  <sheetData>
    <row r="1" spans="1:2" x14ac:dyDescent="0.25">
      <c r="B1" t="s">
        <v>38</v>
      </c>
    </row>
    <row r="2" spans="1:2" x14ac:dyDescent="0.25">
      <c r="A2" t="s">
        <v>60</v>
      </c>
      <c r="B2" s="40">
        <v>646.25</v>
      </c>
    </row>
    <row r="3" spans="1:2" x14ac:dyDescent="0.25">
      <c r="A3" t="s">
        <v>96</v>
      </c>
      <c r="B3" s="40">
        <v>110</v>
      </c>
    </row>
    <row r="4" spans="1:2" x14ac:dyDescent="0.25">
      <c r="A4" t="s">
        <v>122</v>
      </c>
      <c r="B4" s="40">
        <v>2832.5</v>
      </c>
    </row>
    <row r="5" spans="1:2" x14ac:dyDescent="0.25">
      <c r="A5" t="s">
        <v>97</v>
      </c>
      <c r="B5" s="40">
        <v>320</v>
      </c>
    </row>
    <row r="6" spans="1:2" x14ac:dyDescent="0.25">
      <c r="A6" t="s">
        <v>69</v>
      </c>
      <c r="B6" s="40">
        <v>1407.5</v>
      </c>
    </row>
    <row r="7" spans="1:2" x14ac:dyDescent="0.25">
      <c r="A7" t="s">
        <v>83</v>
      </c>
      <c r="B7" s="40">
        <v>2813.75</v>
      </c>
    </row>
    <row r="8" spans="1:2" x14ac:dyDescent="0.25">
      <c r="A8" t="s">
        <v>91</v>
      </c>
      <c r="B8" s="40">
        <v>1553.75</v>
      </c>
    </row>
    <row r="9" spans="1:2" x14ac:dyDescent="0.25">
      <c r="A9" t="s">
        <v>109</v>
      </c>
      <c r="B9" s="40">
        <v>2226.25</v>
      </c>
    </row>
    <row r="10" spans="1:2" x14ac:dyDescent="0.25">
      <c r="A10" t="s">
        <v>112</v>
      </c>
      <c r="B10" s="40">
        <v>2765</v>
      </c>
    </row>
    <row r="11" spans="1:2" x14ac:dyDescent="0.25">
      <c r="A11" t="s">
        <v>123</v>
      </c>
      <c r="B11" s="40">
        <v>215</v>
      </c>
    </row>
    <row r="12" spans="1:2" x14ac:dyDescent="0.25">
      <c r="A12" t="s">
        <v>124</v>
      </c>
      <c r="B12" s="40">
        <v>180</v>
      </c>
    </row>
    <row r="13" spans="1:2" x14ac:dyDescent="0.25">
      <c r="A13" t="s">
        <v>125</v>
      </c>
      <c r="B13" s="40">
        <v>290</v>
      </c>
    </row>
    <row r="14" spans="1:2" x14ac:dyDescent="0.25">
      <c r="A14" t="s">
        <v>9</v>
      </c>
      <c r="B14" s="40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Sep. 25 Daily Stitching Report</vt:lpstr>
      <vt:lpstr>Oct 25 Daily Stitching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BHATT</dc:creator>
  <cp:lastModifiedBy>ASHU BHATT</cp:lastModifiedBy>
  <cp:lastPrinted>2025-10-29T06:38:31Z</cp:lastPrinted>
  <dcterms:created xsi:type="dcterms:W3CDTF">2025-09-06T06:14:17Z</dcterms:created>
  <dcterms:modified xsi:type="dcterms:W3CDTF">2025-11-14T08:16:51Z</dcterms:modified>
</cp:coreProperties>
</file>