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yashgallery-my.sharepoint.com/personal/ashu_yashgallery_com/Documents/Desktop/Costing/Karigar Style Working/"/>
    </mc:Choice>
  </mc:AlternateContent>
  <xr:revisionPtr revIDLastSave="2961" documentId="13_ncr:1_{73FE9CDF-8F28-4095-B48A-C70CEE6131F0}" xr6:coauthVersionLast="47" xr6:coauthVersionMax="47" xr10:uidLastSave="{11BE3682-CFFE-4DF2-B2D7-508B9A84C345}"/>
  <bookViews>
    <workbookView xWindow="-120" yWindow="-120" windowWidth="29040" windowHeight="15720" xr2:uid="{C279A5AB-D0E3-4547-B80D-8D79EE5850A9}"/>
  </bookViews>
  <sheets>
    <sheet name="Working" sheetId="2" r:id="rId1"/>
    <sheet name="Undivideable Expenses" sheetId="1" r:id="rId2"/>
    <sheet name="Sheet3" sheetId="3" r:id="rId3"/>
  </sheets>
  <definedNames>
    <definedName name="_xlnm.Print_Area" localSheetId="0">Working!$A$1:$N$64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01" i="2" l="1"/>
  <c r="G1702" i="2"/>
  <c r="G1703" i="2"/>
  <c r="H1703" i="2" s="1"/>
  <c r="G1704" i="2"/>
  <c r="H1704" i="2" s="1"/>
  <c r="G1705" i="2"/>
  <c r="G1706" i="2"/>
  <c r="G1707" i="2"/>
  <c r="H1707" i="2" s="1"/>
  <c r="G1708" i="2"/>
  <c r="G1709" i="2"/>
  <c r="H1709" i="2" s="1"/>
  <c r="G1710" i="2"/>
  <c r="G1700" i="2"/>
  <c r="G1697" i="2"/>
  <c r="G1698" i="2"/>
  <c r="H1698" i="2" s="1"/>
  <c r="G1699" i="2"/>
  <c r="H1699" i="2" s="1"/>
  <c r="H1700" i="2"/>
  <c r="H1701" i="2"/>
  <c r="H1706" i="2"/>
  <c r="H1708" i="2"/>
  <c r="G1696" i="2"/>
  <c r="H1697" i="2"/>
  <c r="H1702" i="2"/>
  <c r="H1705" i="2"/>
  <c r="H1710" i="2"/>
  <c r="H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696" i="2"/>
  <c r="C1701" i="2"/>
  <c r="C1702" i="2"/>
  <c r="C1703" i="2"/>
  <c r="C1704" i="2"/>
  <c r="C1705" i="2"/>
  <c r="C1706" i="2"/>
  <c r="C1707" i="2"/>
  <c r="C1708" i="2"/>
  <c r="C1709" i="2"/>
  <c r="C1710" i="2"/>
  <c r="C1700" i="2"/>
  <c r="C1697" i="2"/>
  <c r="C1698" i="2"/>
  <c r="C1699" i="2"/>
  <c r="C1696" i="2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O206" i="1" l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S218" i="1"/>
  <c r="Y218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H1689" i="2"/>
  <c r="H1691" i="2"/>
  <c r="C1685" i="2"/>
  <c r="D1685" i="2" s="1"/>
  <c r="C1686" i="2"/>
  <c r="D1686" i="2" s="1"/>
  <c r="C1687" i="2"/>
  <c r="D1687" i="2" s="1"/>
  <c r="C1688" i="2"/>
  <c r="D1688" i="2" s="1"/>
  <c r="D1689" i="2"/>
  <c r="D1690" i="2"/>
  <c r="H1690" i="2" s="1"/>
  <c r="D1691" i="2"/>
  <c r="C1684" i="2"/>
  <c r="D1684" i="2" s="1"/>
  <c r="C1635" i="2" l="1"/>
  <c r="D1635" i="2" s="1"/>
  <c r="C1636" i="2"/>
  <c r="D1636" i="2" s="1"/>
  <c r="C1637" i="2"/>
  <c r="D1637" i="2" s="1"/>
  <c r="C1638" i="2"/>
  <c r="D1638" i="2" s="1"/>
  <c r="C1670" i="2"/>
  <c r="D1670" i="2" s="1"/>
  <c r="C1671" i="2"/>
  <c r="D1671" i="2" s="1"/>
  <c r="C1672" i="2"/>
  <c r="D1672" i="2" s="1"/>
  <c r="C1673" i="2"/>
  <c r="D1673" i="2" s="1"/>
  <c r="C1674" i="2"/>
  <c r="D1674" i="2" s="1"/>
  <c r="C1675" i="2"/>
  <c r="D1675" i="2" s="1"/>
  <c r="C1676" i="2"/>
  <c r="D1676" i="2" s="1"/>
  <c r="C1677" i="2"/>
  <c r="D1677" i="2" s="1"/>
  <c r="C1678" i="2"/>
  <c r="D1678" i="2" s="1"/>
  <c r="C1669" i="2"/>
  <c r="D1669" i="2" s="1"/>
  <c r="D1656" i="2" l="1"/>
  <c r="D1657" i="2"/>
  <c r="D1658" i="2"/>
  <c r="D1659" i="2"/>
  <c r="D1660" i="2"/>
  <c r="D1661" i="2"/>
  <c r="D1662" i="2"/>
  <c r="D1663" i="2"/>
  <c r="D1664" i="2"/>
  <c r="D1655" i="2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N1099" i="2"/>
  <c r="S205" i="1"/>
  <c r="Y205" i="1"/>
  <c r="AC205" i="1"/>
  <c r="AG206" i="1" l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O205" i="1"/>
  <c r="K205" i="1"/>
  <c r="G205" i="1"/>
  <c r="AC196" i="1"/>
  <c r="AC197" i="1"/>
  <c r="AC198" i="1"/>
  <c r="AC199" i="1"/>
  <c r="AC200" i="1"/>
  <c r="AC201" i="1"/>
  <c r="Y198" i="1"/>
  <c r="Y199" i="1"/>
  <c r="Y200" i="1"/>
  <c r="Y201" i="1"/>
  <c r="Y197" i="1"/>
  <c r="C806" i="2"/>
  <c r="D806" i="2" s="1"/>
  <c r="C805" i="2"/>
  <c r="D805" i="2" s="1"/>
  <c r="C775" i="2"/>
  <c r="D775" i="2" s="1"/>
  <c r="AG234" i="1" l="1"/>
  <c r="AG226" i="1"/>
  <c r="AG223" i="1"/>
  <c r="AG229" i="1"/>
  <c r="AG221" i="1"/>
  <c r="AG224" i="1"/>
  <c r="AG228" i="1"/>
  <c r="AG231" i="1"/>
  <c r="AG232" i="1"/>
  <c r="AG230" i="1"/>
  <c r="AG233" i="1"/>
  <c r="AG222" i="1"/>
  <c r="AG225" i="1"/>
  <c r="AG227" i="1"/>
  <c r="AG205" i="1"/>
  <c r="C1644" i="2"/>
  <c r="D1644" i="2" s="1"/>
  <c r="C1645" i="2"/>
  <c r="D1645" i="2" s="1"/>
  <c r="C1646" i="2"/>
  <c r="D1646" i="2" s="1"/>
  <c r="C1647" i="2"/>
  <c r="D1647" i="2" s="1"/>
  <c r="C1648" i="2"/>
  <c r="D1648" i="2" s="1"/>
  <c r="C1649" i="2"/>
  <c r="D1649" i="2" s="1"/>
  <c r="C1650" i="2"/>
  <c r="D1650" i="2" s="1"/>
  <c r="C1643" i="2"/>
  <c r="D1643" i="2" s="1"/>
  <c r="C1642" i="2"/>
  <c r="D164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D1632" i="2" s="1"/>
  <c r="C1633" i="2"/>
  <c r="D1633" i="2" s="1"/>
  <c r="C1634" i="2"/>
  <c r="D1634" i="2" s="1"/>
  <c r="C1612" i="2"/>
  <c r="D1612" i="2" s="1"/>
  <c r="C1598" i="2"/>
  <c r="D1598" i="2" s="1"/>
  <c r="C1599" i="2"/>
  <c r="D1599" i="2" s="1"/>
  <c r="C1600" i="2"/>
  <c r="D1600" i="2" s="1"/>
  <c r="C1601" i="2"/>
  <c r="D1601" i="2" s="1"/>
  <c r="C1602" i="2"/>
  <c r="D1602" i="2" s="1"/>
  <c r="C1603" i="2"/>
  <c r="D1603" i="2" s="1"/>
  <c r="C1604" i="2"/>
  <c r="D1604" i="2" s="1"/>
  <c r="C1605" i="2"/>
  <c r="D1605" i="2" s="1"/>
  <c r="C1606" i="2"/>
  <c r="D1606" i="2" s="1"/>
  <c r="C1607" i="2"/>
  <c r="D1607" i="2" s="1"/>
  <c r="C1608" i="2"/>
  <c r="D1608" i="2" s="1"/>
  <c r="C1597" i="2"/>
  <c r="D1597" i="2" s="1"/>
  <c r="C1569" i="2"/>
  <c r="D1569" i="2" s="1"/>
  <c r="C1570" i="2"/>
  <c r="D1570" i="2" s="1"/>
  <c r="C1571" i="2"/>
  <c r="D1571" i="2" s="1"/>
  <c r="C1572" i="2"/>
  <c r="D1572" i="2" s="1"/>
  <c r="C1573" i="2"/>
  <c r="D1573" i="2" s="1"/>
  <c r="C1574" i="2"/>
  <c r="D1574" i="2" s="1"/>
  <c r="C1575" i="2"/>
  <c r="D1575" i="2" s="1"/>
  <c r="C1576" i="2"/>
  <c r="D1576" i="2" s="1"/>
  <c r="C1577" i="2"/>
  <c r="D1577" i="2" s="1"/>
  <c r="C1578" i="2"/>
  <c r="D1578" i="2" s="1"/>
  <c r="C1579" i="2"/>
  <c r="D1579" i="2" s="1"/>
  <c r="C1580" i="2"/>
  <c r="D1580" i="2" s="1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D1588" i="2" s="1"/>
  <c r="C1589" i="2"/>
  <c r="D1589" i="2" s="1"/>
  <c r="C1590" i="2"/>
  <c r="D1590" i="2" s="1"/>
  <c r="C1591" i="2"/>
  <c r="D1591" i="2" s="1"/>
  <c r="C1592" i="2"/>
  <c r="D1592" i="2" s="1"/>
  <c r="C1593" i="2"/>
  <c r="C1568" i="2"/>
  <c r="D1568" i="2" s="1"/>
  <c r="C1551" i="2"/>
  <c r="D1551" i="2" s="1"/>
  <c r="C1552" i="2"/>
  <c r="D1552" i="2" s="1"/>
  <c r="C1553" i="2"/>
  <c r="D1553" i="2" s="1"/>
  <c r="C1554" i="2"/>
  <c r="D1554" i="2" s="1"/>
  <c r="C1555" i="2"/>
  <c r="D1555" i="2" s="1"/>
  <c r="C1556" i="2"/>
  <c r="D1556" i="2" s="1"/>
  <c r="C1557" i="2"/>
  <c r="D1557" i="2" s="1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50" i="2"/>
  <c r="D1550" i="2" s="1"/>
  <c r="C1543" i="2"/>
  <c r="D1543" i="2" s="1"/>
  <c r="C1544" i="2"/>
  <c r="D1544" i="2" s="1"/>
  <c r="C1545" i="2"/>
  <c r="D1545" i="2" s="1"/>
  <c r="C1546" i="2"/>
  <c r="D1546" i="2" s="1"/>
  <c r="C1542" i="2"/>
  <c r="D1542" i="2" s="1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D1511" i="2" s="1"/>
  <c r="C1512" i="2"/>
  <c r="D1512" i="2" s="1"/>
  <c r="C1513" i="2"/>
  <c r="D1513" i="2" s="1"/>
  <c r="C1514" i="2"/>
  <c r="D1514" i="2" s="1"/>
  <c r="C1515" i="2"/>
  <c r="D1515" i="2" s="1"/>
  <c r="C1516" i="2"/>
  <c r="D1516" i="2" s="1"/>
  <c r="C1517" i="2"/>
  <c r="D1517" i="2" s="1"/>
  <c r="C1518" i="2"/>
  <c r="D1518" i="2" s="1"/>
  <c r="C1519" i="2"/>
  <c r="D1519" i="2" s="1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D1532" i="2" s="1"/>
  <c r="C1533" i="2"/>
  <c r="D1533" i="2" s="1"/>
  <c r="C1534" i="2"/>
  <c r="D1534" i="2" s="1"/>
  <c r="C1535" i="2"/>
  <c r="D1535" i="2" s="1"/>
  <c r="C1536" i="2"/>
  <c r="D1536" i="2" s="1"/>
  <c r="C1537" i="2"/>
  <c r="D1537" i="2" s="1"/>
  <c r="C1501" i="2"/>
  <c r="D1501" i="2" s="1"/>
  <c r="C1491" i="2"/>
  <c r="D1491" i="2" s="1"/>
  <c r="C1492" i="2"/>
  <c r="D1492" i="2" s="1"/>
  <c r="C1493" i="2"/>
  <c r="D1493" i="2" s="1"/>
  <c r="C1494" i="2"/>
  <c r="D1494" i="2" s="1"/>
  <c r="C1495" i="2"/>
  <c r="D1495" i="2" s="1"/>
  <c r="C1496" i="2"/>
  <c r="D1496" i="2" s="1"/>
  <c r="C1497" i="2"/>
  <c r="D1497" i="2" s="1"/>
  <c r="C1490" i="2"/>
  <c r="D1490" i="2" s="1"/>
  <c r="C1481" i="2"/>
  <c r="D1481" i="2" s="1"/>
  <c r="C1482" i="2"/>
  <c r="D1482" i="2" s="1"/>
  <c r="C1483" i="2"/>
  <c r="D1483" i="2" s="1"/>
  <c r="C1484" i="2"/>
  <c r="D1484" i="2" s="1"/>
  <c r="C1485" i="2"/>
  <c r="D1485" i="2" s="1"/>
  <c r="C1486" i="2"/>
  <c r="D1486" i="2" s="1"/>
  <c r="C1480" i="2"/>
  <c r="D1480" i="2" s="1"/>
  <c r="C1471" i="2"/>
  <c r="D1471" i="2" s="1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D1478" i="2" s="1"/>
  <c r="C1479" i="2"/>
  <c r="D1479" i="2" s="1"/>
  <c r="C1470" i="2"/>
  <c r="D1470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58" i="2"/>
  <c r="D1458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44" i="2"/>
  <c r="D1444" i="2" s="1"/>
  <c r="C1438" i="2"/>
  <c r="D1438" i="2" s="1"/>
  <c r="C1439" i="2"/>
  <c r="D1439" i="2" s="1"/>
  <c r="C1440" i="2"/>
  <c r="D1440" i="2" s="1"/>
  <c r="C1441" i="2"/>
  <c r="D1441" i="2" s="1"/>
  <c r="C1442" i="2"/>
  <c r="D1442" i="2" s="1"/>
  <c r="C1443" i="2"/>
  <c r="D1443" i="2" s="1"/>
  <c r="C1437" i="2"/>
  <c r="D1437" i="2" s="1"/>
  <c r="C1433" i="2"/>
  <c r="D1433" i="2" s="1"/>
  <c r="C1432" i="2"/>
  <c r="D1432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20" i="2"/>
  <c r="D1420" i="2" s="1"/>
  <c r="C1416" i="2"/>
  <c r="D1416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D1415" i="2" s="1"/>
  <c r="C1381" i="2"/>
  <c r="D1381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D1371" i="2" s="1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D1377" i="2" s="1"/>
  <c r="C1378" i="2"/>
  <c r="D1378" i="2" s="1"/>
  <c r="C1379" i="2"/>
  <c r="D1379" i="2" s="1"/>
  <c r="C1380" i="2"/>
  <c r="D1380" i="2" s="1"/>
  <c r="C1364" i="2"/>
  <c r="D1364" i="2" s="1"/>
  <c r="C1360" i="2"/>
  <c r="D136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50" i="2"/>
  <c r="D1350" i="2" s="1"/>
  <c r="C1349" i="2"/>
  <c r="D1349" i="2" s="1"/>
  <c r="C1343" i="2"/>
  <c r="D1343" i="2" s="1"/>
  <c r="C1344" i="2"/>
  <c r="D1344" i="2" s="1"/>
  <c r="C1345" i="2"/>
  <c r="D1345" i="2" s="1"/>
  <c r="C1342" i="2"/>
  <c r="D1342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D1339" i="2" s="1"/>
  <c r="C1340" i="2"/>
  <c r="D1340" i="2" s="1"/>
  <c r="C1341" i="2"/>
  <c r="D1341" i="2" s="1"/>
  <c r="C1333" i="2"/>
  <c r="D1333" i="2" s="1"/>
  <c r="C1332" i="2"/>
  <c r="D1332" i="2" s="1"/>
  <c r="C1328" i="2"/>
  <c r="D1328" i="2" s="1"/>
  <c r="C1317" i="2"/>
  <c r="D1317" i="2" s="1"/>
  <c r="C1318" i="2"/>
  <c r="D1318" i="2" s="1"/>
  <c r="C1319" i="2"/>
  <c r="D1319" i="2" s="1"/>
  <c r="C1320" i="2"/>
  <c r="D1320" i="2" s="1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D1326" i="2" s="1"/>
  <c r="C1327" i="2"/>
  <c r="D1327" i="2" s="1"/>
  <c r="C1316" i="2"/>
  <c r="D1316" i="2" s="1"/>
  <c r="C1314" i="2"/>
  <c r="D1314" i="2" s="1"/>
  <c r="C1315" i="2"/>
  <c r="D1315" i="2" s="1"/>
  <c r="C1298" i="2"/>
  <c r="D1298" i="2" s="1"/>
  <c r="C1299" i="2"/>
  <c r="D1299" i="2" s="1"/>
  <c r="C1300" i="2"/>
  <c r="D1300" i="2" s="1"/>
  <c r="C1297" i="2"/>
  <c r="D1297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01" i="2"/>
  <c r="D1301" i="2" s="1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D1293" i="2" s="1"/>
  <c r="C1279" i="2"/>
  <c r="D1279" i="2" s="1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D1271" i="2" s="1"/>
  <c r="C1272" i="2"/>
  <c r="D1272" i="2" s="1"/>
  <c r="C1273" i="2"/>
  <c r="D1273" i="2" s="1"/>
  <c r="C1274" i="2"/>
  <c r="D1274" i="2" s="1"/>
  <c r="C1275" i="2"/>
  <c r="D1275" i="2" s="1"/>
  <c r="C1276" i="2"/>
  <c r="D1276" i="2" s="1"/>
  <c r="C1277" i="2"/>
  <c r="D1277" i="2" s="1"/>
  <c r="C1278" i="2"/>
  <c r="D1278" i="2" s="1"/>
  <c r="C1259" i="2"/>
  <c r="D1259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D1255" i="2" s="1"/>
  <c r="C1256" i="2"/>
  <c r="D1256" i="2" s="1"/>
  <c r="C1257" i="2"/>
  <c r="D1257" i="2" s="1"/>
  <c r="C1258" i="2"/>
  <c r="D1258" i="2" s="1"/>
  <c r="C1242" i="2"/>
  <c r="D1242" i="2" s="1"/>
  <c r="D1241" i="2"/>
  <c r="C1235" i="2"/>
  <c r="D1235" i="2" s="1"/>
  <c r="C1236" i="2"/>
  <c r="D1236" i="2" s="1"/>
  <c r="C1234" i="2"/>
  <c r="D1234" i="2" s="1"/>
  <c r="C1230" i="2"/>
  <c r="D1230" i="2" s="1"/>
  <c r="C1226" i="2"/>
  <c r="D1226" i="2" s="1"/>
  <c r="C1225" i="2"/>
  <c r="D1225" i="2" s="1"/>
  <c r="C1219" i="2"/>
  <c r="D1219" i="2" s="1"/>
  <c r="C1220" i="2"/>
  <c r="D1220" i="2" s="1"/>
  <c r="C1221" i="2"/>
  <c r="D1221" i="2" s="1"/>
  <c r="C1218" i="2"/>
  <c r="D1218" i="2" s="1"/>
  <c r="C1217" i="2"/>
  <c r="D1217" i="2" s="1"/>
  <c r="C1216" i="2"/>
  <c r="D1216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D1211" i="2" s="1"/>
  <c r="C1212" i="2"/>
  <c r="D1212" i="2" s="1"/>
  <c r="C1204" i="2"/>
  <c r="D1204" i="2" s="1"/>
  <c r="C1200" i="2"/>
  <c r="D1200" i="2" s="1"/>
  <c r="C1199" i="2"/>
  <c r="D1199" i="2" s="1"/>
  <c r="H1241" i="2" l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D1191" i="2" s="1"/>
  <c r="C1192" i="2"/>
  <c r="D1192" i="2" s="1"/>
  <c r="C1193" i="2"/>
  <c r="D1193" i="2" s="1"/>
  <c r="C1194" i="2"/>
  <c r="D1194" i="2" s="1"/>
  <c r="C1195" i="2"/>
  <c r="D1195" i="2" s="1"/>
  <c r="C1185" i="2"/>
  <c r="D1185" i="2" s="1"/>
  <c r="C1151" i="2"/>
  <c r="D1151" i="2" s="1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D1159" i="2" s="1"/>
  <c r="C1160" i="2"/>
  <c r="D1160" i="2" s="1"/>
  <c r="C1161" i="2"/>
  <c r="D1161" i="2" s="1"/>
  <c r="C1162" i="2"/>
  <c r="D1162" i="2" s="1"/>
  <c r="C1163" i="2"/>
  <c r="D1163" i="2" s="1"/>
  <c r="C1164" i="2"/>
  <c r="D1164" i="2" s="1"/>
  <c r="C1150" i="2"/>
  <c r="D1150" i="2" s="1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D1148" i="2" s="1"/>
  <c r="C1149" i="2"/>
  <c r="D1149" i="2" s="1"/>
  <c r="C1135" i="2"/>
  <c r="D1135" i="2" s="1"/>
  <c r="C1165" i="2"/>
  <c r="D1165" i="2" s="1"/>
  <c r="G1165" i="2"/>
  <c r="C1166" i="2"/>
  <c r="D1166" i="2" s="1"/>
  <c r="G1166" i="2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D1175" i="2" s="1"/>
  <c r="C1176" i="2"/>
  <c r="D1176" i="2" s="1"/>
  <c r="C1177" i="2"/>
  <c r="D1177" i="2" s="1"/>
  <c r="C1178" i="2"/>
  <c r="D1178" i="2" s="1"/>
  <c r="C1179" i="2"/>
  <c r="D1179" i="2" s="1"/>
  <c r="C1180" i="2"/>
  <c r="D1180" i="2" s="1"/>
  <c r="C1181" i="2"/>
  <c r="D1181" i="2" s="1"/>
  <c r="C1123" i="2"/>
  <c r="D1123" i="2" s="1"/>
  <c r="C1124" i="2"/>
  <c r="D1124" i="2" s="1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D1130" i="2" s="1"/>
  <c r="C1131" i="2"/>
  <c r="D1131" i="2" s="1"/>
  <c r="C1122" i="2"/>
  <c r="D1122" i="2" s="1"/>
  <c r="C1113" i="2"/>
  <c r="D1113" i="2" s="1"/>
  <c r="C1114" i="2"/>
  <c r="D1114" i="2" s="1"/>
  <c r="C1115" i="2"/>
  <c r="D1115" i="2" s="1"/>
  <c r="C1116" i="2"/>
  <c r="D1116" i="2" s="1"/>
  <c r="C1117" i="2"/>
  <c r="D1117" i="2" s="1"/>
  <c r="C1118" i="2"/>
  <c r="D1118" i="2" s="1"/>
  <c r="C1112" i="2"/>
  <c r="D1112" i="2" s="1"/>
  <c r="C1105" i="2"/>
  <c r="D1105" i="2" s="1"/>
  <c r="C1106" i="2"/>
  <c r="D1106" i="2" s="1"/>
  <c r="C1107" i="2"/>
  <c r="D1107" i="2" s="1"/>
  <c r="C1108" i="2"/>
  <c r="D1108" i="2" s="1"/>
  <c r="C1104" i="2"/>
  <c r="D1104" i="2" s="1"/>
  <c r="C1098" i="2"/>
  <c r="D1098" i="2" s="1"/>
  <c r="C1099" i="2"/>
  <c r="D1099" i="2" s="1"/>
  <c r="C1100" i="2"/>
  <c r="D1100" i="2" s="1"/>
  <c r="C1097" i="2"/>
  <c r="D1097" i="2" s="1"/>
  <c r="H1166" i="2" l="1"/>
  <c r="H1165" i="2"/>
  <c r="C1090" i="2"/>
  <c r="D1090" i="2" s="1"/>
  <c r="C1091" i="2"/>
  <c r="D1091" i="2" s="1"/>
  <c r="C1092" i="2"/>
  <c r="D1092" i="2" s="1"/>
  <c r="C1093" i="2"/>
  <c r="D1093" i="2" s="1"/>
  <c r="C1089" i="2"/>
  <c r="D1089" i="2" s="1"/>
  <c r="C1078" i="2"/>
  <c r="D1078" i="2" s="1"/>
  <c r="C1079" i="2"/>
  <c r="D1079" i="2" s="1"/>
  <c r="C1080" i="2"/>
  <c r="D1080" i="2" s="1"/>
  <c r="C1081" i="2"/>
  <c r="D1081" i="2" s="1"/>
  <c r="C1082" i="2"/>
  <c r="D1082" i="2" s="1"/>
  <c r="C1083" i="2"/>
  <c r="D1083" i="2" s="1"/>
  <c r="C1084" i="2"/>
  <c r="D1084" i="2" s="1"/>
  <c r="C1085" i="2"/>
  <c r="D1085" i="2" s="1"/>
  <c r="C1077" i="2"/>
  <c r="D107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67" i="2"/>
  <c r="D1067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54" i="2"/>
  <c r="D1054" i="2" s="1"/>
  <c r="C1046" i="2"/>
  <c r="D1046" i="2" s="1"/>
  <c r="C1047" i="2"/>
  <c r="D1047" i="2" s="1"/>
  <c r="C1048" i="2"/>
  <c r="D1048" i="2" s="1"/>
  <c r="C1049" i="2"/>
  <c r="D1049" i="2" s="1"/>
  <c r="C1050" i="2"/>
  <c r="D1050" i="2" s="1"/>
  <c r="C1045" i="2"/>
  <c r="D1045" i="2" s="1"/>
  <c r="C1040" i="2"/>
  <c r="D1040" i="2" s="1"/>
  <c r="C1039" i="2"/>
  <c r="D1039" i="2" s="1"/>
  <c r="C1038" i="2"/>
  <c r="D1038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D1033" i="2" s="1"/>
  <c r="C1034" i="2"/>
  <c r="D1034" i="2" s="1"/>
  <c r="C1027" i="2"/>
  <c r="D1027" i="2" s="1"/>
  <c r="C1016" i="2"/>
  <c r="D1016" i="2" s="1"/>
  <c r="C1017" i="2"/>
  <c r="D1017" i="2" s="1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15" i="2"/>
  <c r="D1015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998" i="2"/>
  <c r="D998" i="2" s="1"/>
  <c r="C978" i="2"/>
  <c r="D978" i="2" s="1"/>
  <c r="G978" i="2"/>
  <c r="C979" i="2"/>
  <c r="D979" i="2" s="1"/>
  <c r="G979" i="2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G977" i="2"/>
  <c r="C977" i="2"/>
  <c r="D977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64" i="2"/>
  <c r="D964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41" i="2"/>
  <c r="D941" i="2" s="1"/>
  <c r="C925" i="2"/>
  <c r="D925" i="2" s="1"/>
  <c r="G925" i="2"/>
  <c r="C926" i="2"/>
  <c r="D926" i="2" s="1"/>
  <c r="G926" i="2"/>
  <c r="C927" i="2"/>
  <c r="D927" i="2" s="1"/>
  <c r="G927" i="2"/>
  <c r="C928" i="2"/>
  <c r="D928" i="2" s="1"/>
  <c r="G928" i="2"/>
  <c r="C929" i="2"/>
  <c r="D929" i="2" s="1"/>
  <c r="G929" i="2"/>
  <c r="C930" i="2"/>
  <c r="D930" i="2" s="1"/>
  <c r="G930" i="2"/>
  <c r="C931" i="2"/>
  <c r="D931" i="2" s="1"/>
  <c r="G931" i="2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G924" i="2"/>
  <c r="C924" i="2"/>
  <c r="D924" i="2" s="1"/>
  <c r="G912" i="2"/>
  <c r="G913" i="2"/>
  <c r="G911" i="2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11" i="2"/>
  <c r="D911" i="2" s="1"/>
  <c r="G892" i="2"/>
  <c r="G893" i="2"/>
  <c r="G894" i="2"/>
  <c r="G895" i="2"/>
  <c r="G896" i="2"/>
  <c r="G897" i="2"/>
  <c r="G891" i="2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891" i="2"/>
  <c r="D891" i="2" s="1"/>
  <c r="G872" i="2"/>
  <c r="G873" i="2"/>
  <c r="G874" i="2"/>
  <c r="G875" i="2"/>
  <c r="G876" i="2"/>
  <c r="G877" i="2"/>
  <c r="G871" i="2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71" i="2"/>
  <c r="D871" i="2" s="1"/>
  <c r="C586" i="2"/>
  <c r="AH202" i="1"/>
  <c r="K201" i="1"/>
  <c r="O201" i="1"/>
  <c r="S20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71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AH168" i="1"/>
  <c r="AG180" i="1" l="1"/>
  <c r="AG178" i="1"/>
  <c r="G1649" i="2" s="1"/>
  <c r="H1649" i="2" s="1"/>
  <c r="AG181" i="1"/>
  <c r="G1650" i="2" s="1"/>
  <c r="H1650" i="2" s="1"/>
  <c r="G1626" i="2"/>
  <c r="H1626" i="2" s="1"/>
  <c r="G1530" i="2"/>
  <c r="H1530" i="2" s="1"/>
  <c r="G1206" i="2"/>
  <c r="H1206" i="2" s="1"/>
  <c r="G1585" i="2"/>
  <c r="H1585" i="2" s="1"/>
  <c r="G1218" i="2"/>
  <c r="H1218" i="2" s="1"/>
  <c r="G1234" i="2"/>
  <c r="H1234" i="2" s="1"/>
  <c r="G1118" i="2"/>
  <c r="H1118" i="2" s="1"/>
  <c r="G1189" i="2"/>
  <c r="H1189" i="2" s="1"/>
  <c r="G1128" i="2"/>
  <c r="H1128" i="2" s="1"/>
  <c r="G1181" i="2"/>
  <c r="H1181" i="2" s="1"/>
  <c r="AG172" i="1"/>
  <c r="AG174" i="1"/>
  <c r="AG173" i="1"/>
  <c r="AG176" i="1"/>
  <c r="G1207" i="2"/>
  <c r="H1207" i="2" s="1"/>
  <c r="G1219" i="2"/>
  <c r="H1219" i="2" s="1"/>
  <c r="G1602" i="2"/>
  <c r="H1602" i="2" s="1"/>
  <c r="G1287" i="2"/>
  <c r="H1287" i="2" s="1"/>
  <c r="G1586" i="2"/>
  <c r="H1586" i="2" s="1"/>
  <c r="G1190" i="2"/>
  <c r="H1190" i="2" s="1"/>
  <c r="G1129" i="2"/>
  <c r="H1129" i="2" s="1"/>
  <c r="AG177" i="1"/>
  <c r="G1225" i="2"/>
  <c r="H1225" i="2" s="1"/>
  <c r="G1410" i="2"/>
  <c r="H1410" i="2" s="1"/>
  <c r="G1200" i="2"/>
  <c r="H1200" i="2" s="1"/>
  <c r="G1204" i="2"/>
  <c r="H1204" i="2" s="1"/>
  <c r="G1285" i="2"/>
  <c r="H1285" i="2" s="1"/>
  <c r="G1216" i="2"/>
  <c r="H1216" i="2" s="1"/>
  <c r="G1528" i="2"/>
  <c r="H1528" i="2" s="1"/>
  <c r="G1179" i="2"/>
  <c r="H1179" i="2" s="1"/>
  <c r="G1116" i="2"/>
  <c r="H1116" i="2" s="1"/>
  <c r="G1099" i="2"/>
  <c r="H1099" i="2" s="1"/>
  <c r="G1187" i="2"/>
  <c r="H1187" i="2" s="1"/>
  <c r="AG196" i="1"/>
  <c r="AG192" i="1"/>
  <c r="AG200" i="1"/>
  <c r="G1687" i="2" s="1"/>
  <c r="H1687" i="2" s="1"/>
  <c r="AG188" i="1"/>
  <c r="AG184" i="1"/>
  <c r="H895" i="2"/>
  <c r="H875" i="2"/>
  <c r="H897" i="2"/>
  <c r="H979" i="2"/>
  <c r="H871" i="2"/>
  <c r="H872" i="2"/>
  <c r="H913" i="2"/>
  <c r="H874" i="2"/>
  <c r="H893" i="2"/>
  <c r="H876" i="2"/>
  <c r="H877" i="2"/>
  <c r="H873" i="2"/>
  <c r="H894" i="2"/>
  <c r="H912" i="2"/>
  <c r="H930" i="2"/>
  <c r="H928" i="2"/>
  <c r="H926" i="2"/>
  <c r="H896" i="2"/>
  <c r="H891" i="2"/>
  <c r="H931" i="2"/>
  <c r="H929" i="2"/>
  <c r="H927" i="2"/>
  <c r="H925" i="2"/>
  <c r="H978" i="2"/>
  <c r="H892" i="2"/>
  <c r="H911" i="2"/>
  <c r="H977" i="2"/>
  <c r="H924" i="2"/>
  <c r="AG185" i="1"/>
  <c r="G1655" i="2" s="1"/>
  <c r="H1655" i="2" s="1"/>
  <c r="AG189" i="1"/>
  <c r="AG193" i="1"/>
  <c r="AG197" i="1"/>
  <c r="AG201" i="1"/>
  <c r="AG171" i="1"/>
  <c r="AG175" i="1"/>
  <c r="AG179" i="1"/>
  <c r="AG183" i="1"/>
  <c r="AG187" i="1"/>
  <c r="AG191" i="1"/>
  <c r="AG195" i="1"/>
  <c r="AG199" i="1"/>
  <c r="AG186" i="1"/>
  <c r="G1656" i="2" s="1"/>
  <c r="H1656" i="2" s="1"/>
  <c r="AG190" i="1"/>
  <c r="AG194" i="1"/>
  <c r="AG198" i="1"/>
  <c r="AG182" i="1"/>
  <c r="G1411" i="2" l="1"/>
  <c r="H1411" i="2" s="1"/>
  <c r="G1674" i="2"/>
  <c r="H1674" i="2" s="1"/>
  <c r="G1637" i="2"/>
  <c r="H1637" i="2" s="1"/>
  <c r="G1662" i="2"/>
  <c r="H1662" i="2" s="1"/>
  <c r="G1521" i="2"/>
  <c r="H1521" i="2" s="1"/>
  <c r="G1579" i="2"/>
  <c r="H1579" i="2" s="1"/>
  <c r="G1644" i="2"/>
  <c r="H1644" i="2" s="1"/>
  <c r="G1279" i="2"/>
  <c r="H1279" i="2" s="1"/>
  <c r="G1452" i="2"/>
  <c r="H1452" i="2" s="1"/>
  <c r="G1403" i="2"/>
  <c r="H1403" i="2" s="1"/>
  <c r="G1620" i="2"/>
  <c r="H1620" i="2" s="1"/>
  <c r="G1562" i="2"/>
  <c r="H1562" i="2" s="1"/>
  <c r="G886" i="2"/>
  <c r="H886" i="2" s="1"/>
  <c r="G954" i="2"/>
  <c r="H954" i="2" s="1"/>
  <c r="G1672" i="2"/>
  <c r="H1672" i="2" s="1"/>
  <c r="G1635" i="2"/>
  <c r="H1635" i="2" s="1"/>
  <c r="G1660" i="2"/>
  <c r="H1660" i="2" s="1"/>
  <c r="G1685" i="2"/>
  <c r="H1685" i="2" s="1"/>
  <c r="G1676" i="2"/>
  <c r="H1676" i="2" s="1"/>
  <c r="G1638" i="2"/>
  <c r="H1638" i="2" s="1"/>
  <c r="G1664" i="2"/>
  <c r="H1664" i="2" s="1"/>
  <c r="G1627" i="2"/>
  <c r="H1627" i="2" s="1"/>
  <c r="G1658" i="2"/>
  <c r="H1658" i="2" s="1"/>
  <c r="G1670" i="2"/>
  <c r="H1670" i="2" s="1"/>
  <c r="G1688" i="2"/>
  <c r="H1688" i="2" s="1"/>
  <c r="G1678" i="2"/>
  <c r="H1678" i="2" s="1"/>
  <c r="G1531" i="2"/>
  <c r="H1531" i="2" s="1"/>
  <c r="G1657" i="2"/>
  <c r="H1657" i="2" s="1"/>
  <c r="G1669" i="2"/>
  <c r="H1669" i="2" s="1"/>
  <c r="G1593" i="2"/>
  <c r="H1593" i="2" s="1"/>
  <c r="G1671" i="2"/>
  <c r="H1671" i="2" s="1"/>
  <c r="G1659" i="2"/>
  <c r="H1659" i="2" s="1"/>
  <c r="G1684" i="2"/>
  <c r="H1684" i="2" s="1"/>
  <c r="G1675" i="2"/>
  <c r="H1675" i="2" s="1"/>
  <c r="G1663" i="2"/>
  <c r="H1663" i="2" s="1"/>
  <c r="G1673" i="2"/>
  <c r="H1673" i="2" s="1"/>
  <c r="G1636" i="2"/>
  <c r="H1636" i="2" s="1"/>
  <c r="G1661" i="2"/>
  <c r="H1661" i="2" s="1"/>
  <c r="G1686" i="2"/>
  <c r="H1686" i="2" s="1"/>
  <c r="G1677" i="2"/>
  <c r="H1677" i="2" s="1"/>
  <c r="G1523" i="2"/>
  <c r="H1523" i="2" s="1"/>
  <c r="G1281" i="2"/>
  <c r="H1281" i="2" s="1"/>
  <c r="G1581" i="2"/>
  <c r="H1581" i="2" s="1"/>
  <c r="G1405" i="2"/>
  <c r="H1405" i="2" s="1"/>
  <c r="G1646" i="2"/>
  <c r="H1646" i="2" s="1"/>
  <c r="G1622" i="2"/>
  <c r="H1622" i="2" s="1"/>
  <c r="G1104" i="2"/>
  <c r="H1104" i="2" s="1"/>
  <c r="G1122" i="2"/>
  <c r="H1122" i="2" s="1"/>
  <c r="G956" i="2"/>
  <c r="H956" i="2" s="1"/>
  <c r="G1406" i="2"/>
  <c r="H1406" i="2" s="1"/>
  <c r="G1524" i="2"/>
  <c r="H1524" i="2" s="1"/>
  <c r="G1582" i="2"/>
  <c r="H1582" i="2" s="1"/>
  <c r="G1647" i="2"/>
  <c r="H1647" i="2" s="1"/>
  <c r="G1623" i="2"/>
  <c r="H1623" i="2" s="1"/>
  <c r="G1123" i="2"/>
  <c r="H1123" i="2" s="1"/>
  <c r="G1112" i="2"/>
  <c r="H1112" i="2" s="1"/>
  <c r="G1105" i="2"/>
  <c r="H1105" i="2" s="1"/>
  <c r="G957" i="2"/>
  <c r="H957" i="2" s="1"/>
  <c r="G1289" i="2"/>
  <c r="H1289" i="2" s="1"/>
  <c r="G1588" i="2"/>
  <c r="H1588" i="2" s="1"/>
  <c r="G1413" i="2"/>
  <c r="H1413" i="2" s="1"/>
  <c r="G1533" i="2"/>
  <c r="H1533" i="2" s="1"/>
  <c r="G1629" i="2"/>
  <c r="H1629" i="2" s="1"/>
  <c r="G1221" i="2"/>
  <c r="H1221" i="2" s="1"/>
  <c r="G1209" i="2"/>
  <c r="H1209" i="2" s="1"/>
  <c r="G1604" i="2"/>
  <c r="H1604" i="2" s="1"/>
  <c r="G1409" i="2"/>
  <c r="H1409" i="2" s="1"/>
  <c r="G1199" i="2"/>
  <c r="H1199" i="2" s="1"/>
  <c r="G1284" i="2"/>
  <c r="H1284" i="2" s="1"/>
  <c r="G1564" i="2"/>
  <c r="H1564" i="2" s="1"/>
  <c r="G1527" i="2"/>
  <c r="H1527" i="2" s="1"/>
  <c r="G1178" i="2"/>
  <c r="H1178" i="2" s="1"/>
  <c r="G1098" i="2"/>
  <c r="H1098" i="2" s="1"/>
  <c r="G1186" i="2"/>
  <c r="H1186" i="2" s="1"/>
  <c r="G1126" i="2"/>
  <c r="H1126" i="2" s="1"/>
  <c r="G1115" i="2"/>
  <c r="H1115" i="2" s="1"/>
  <c r="G1108" i="2"/>
  <c r="H1108" i="2" s="1"/>
  <c r="G960" i="2"/>
  <c r="H960" i="2" s="1"/>
  <c r="G1195" i="2"/>
  <c r="H1195" i="2" s="1"/>
  <c r="G1292" i="2"/>
  <c r="H1292" i="2" s="1"/>
  <c r="G1632" i="2"/>
  <c r="H1632" i="2" s="1"/>
  <c r="G1212" i="2"/>
  <c r="H1212" i="2" s="1"/>
  <c r="G1607" i="2"/>
  <c r="H1607" i="2" s="1"/>
  <c r="G1591" i="2"/>
  <c r="H1591" i="2" s="1"/>
  <c r="G1236" i="2"/>
  <c r="H1236" i="2" s="1"/>
  <c r="G1536" i="2"/>
  <c r="H1536" i="2" s="1"/>
  <c r="G1648" i="2"/>
  <c r="H1648" i="2" s="1"/>
  <c r="G1283" i="2"/>
  <c r="H1283" i="2" s="1"/>
  <c r="G1563" i="2"/>
  <c r="H1563" i="2" s="1"/>
  <c r="G1526" i="2"/>
  <c r="H1526" i="2" s="1"/>
  <c r="G1583" i="2"/>
  <c r="H1583" i="2" s="1"/>
  <c r="G1408" i="2"/>
  <c r="H1408" i="2" s="1"/>
  <c r="G1125" i="2"/>
  <c r="H1125" i="2" s="1"/>
  <c r="G1107" i="2"/>
  <c r="H1107" i="2" s="1"/>
  <c r="G1185" i="2"/>
  <c r="H1185" i="2" s="1"/>
  <c r="G1097" i="2"/>
  <c r="H1097" i="2" s="1"/>
  <c r="G1114" i="2"/>
  <c r="H1114" i="2" s="1"/>
  <c r="G959" i="2"/>
  <c r="H959" i="2" s="1"/>
  <c r="G1208" i="2"/>
  <c r="H1208" i="2" s="1"/>
  <c r="G1532" i="2"/>
  <c r="H1532" i="2" s="1"/>
  <c r="G1412" i="2"/>
  <c r="H1412" i="2" s="1"/>
  <c r="G1628" i="2"/>
  <c r="H1628" i="2" s="1"/>
  <c r="G1220" i="2"/>
  <c r="H1220" i="2" s="1"/>
  <c r="G1288" i="2"/>
  <c r="H1288" i="2" s="1"/>
  <c r="G1226" i="2"/>
  <c r="H1226" i="2" s="1"/>
  <c r="G1603" i="2"/>
  <c r="H1603" i="2" s="1"/>
  <c r="G1587" i="2"/>
  <c r="H1587" i="2" s="1"/>
  <c r="G1191" i="2"/>
  <c r="H1191" i="2" s="1"/>
  <c r="G1130" i="2"/>
  <c r="H1130" i="2" s="1"/>
  <c r="G1193" i="2"/>
  <c r="H1193" i="2" s="1"/>
  <c r="G1605" i="2"/>
  <c r="H1605" i="2" s="1"/>
  <c r="G1589" i="2"/>
  <c r="H1589" i="2" s="1"/>
  <c r="G1290" i="2"/>
  <c r="H1290" i="2" s="1"/>
  <c r="G1414" i="2"/>
  <c r="H1414" i="2" s="1"/>
  <c r="G1534" i="2"/>
  <c r="H1534" i="2" s="1"/>
  <c r="G1454" i="2"/>
  <c r="H1454" i="2" s="1"/>
  <c r="G1210" i="2"/>
  <c r="H1210" i="2" s="1"/>
  <c r="G1630" i="2"/>
  <c r="H1630" i="2" s="1"/>
  <c r="G1432" i="2"/>
  <c r="H1432" i="2" s="1"/>
  <c r="G1537" i="2"/>
  <c r="H1537" i="2" s="1"/>
  <c r="G1416" i="2"/>
  <c r="H1416" i="2" s="1"/>
  <c r="G1633" i="2"/>
  <c r="H1633" i="2" s="1"/>
  <c r="G1608" i="2"/>
  <c r="H1608" i="2" s="1"/>
  <c r="G1293" i="2"/>
  <c r="H1293" i="2" s="1"/>
  <c r="G1592" i="2"/>
  <c r="H1592" i="2" s="1"/>
  <c r="G1625" i="2"/>
  <c r="H1625" i="2" s="1"/>
  <c r="G1529" i="2"/>
  <c r="H1529" i="2" s="1"/>
  <c r="G1205" i="2"/>
  <c r="H1205" i="2" s="1"/>
  <c r="G1584" i="2"/>
  <c r="H1584" i="2" s="1"/>
  <c r="G1217" i="2"/>
  <c r="H1217" i="2" s="1"/>
  <c r="G1286" i="2"/>
  <c r="H1286" i="2" s="1"/>
  <c r="G1230" i="2"/>
  <c r="H1230" i="2" s="1"/>
  <c r="G1127" i="2"/>
  <c r="H1127" i="2" s="1"/>
  <c r="G1180" i="2"/>
  <c r="H1180" i="2" s="1"/>
  <c r="G1100" i="2"/>
  <c r="H1100" i="2" s="1"/>
  <c r="G1188" i="2"/>
  <c r="H1188" i="2" s="1"/>
  <c r="G1117" i="2"/>
  <c r="H1117" i="2" s="1"/>
  <c r="G1580" i="2"/>
  <c r="H1580" i="2" s="1"/>
  <c r="G1404" i="2"/>
  <c r="H1404" i="2" s="1"/>
  <c r="G1522" i="2"/>
  <c r="H1522" i="2" s="1"/>
  <c r="G1280" i="2"/>
  <c r="H1280" i="2" s="1"/>
  <c r="G1453" i="2"/>
  <c r="H1453" i="2" s="1"/>
  <c r="G1645" i="2"/>
  <c r="H1645" i="2" s="1"/>
  <c r="G1621" i="2"/>
  <c r="H1621" i="2" s="1"/>
  <c r="G955" i="2"/>
  <c r="H955" i="2" s="1"/>
  <c r="G887" i="2"/>
  <c r="H887" i="2" s="1"/>
  <c r="G1194" i="2"/>
  <c r="H1194" i="2" s="1"/>
  <c r="G1291" i="2"/>
  <c r="H1291" i="2" s="1"/>
  <c r="G1211" i="2"/>
  <c r="H1211" i="2" s="1"/>
  <c r="G1606" i="2"/>
  <c r="H1606" i="2" s="1"/>
  <c r="G1590" i="2"/>
  <c r="H1590" i="2" s="1"/>
  <c r="G1235" i="2"/>
  <c r="H1235" i="2" s="1"/>
  <c r="G1535" i="2"/>
  <c r="H1535" i="2" s="1"/>
  <c r="G1433" i="2"/>
  <c r="H1433" i="2" s="1"/>
  <c r="G1415" i="2"/>
  <c r="H1415" i="2" s="1"/>
  <c r="G1631" i="2"/>
  <c r="H1631" i="2" s="1"/>
  <c r="G1525" i="2"/>
  <c r="H1525" i="2" s="1"/>
  <c r="G1282" i="2"/>
  <c r="H1282" i="2" s="1"/>
  <c r="G1407" i="2"/>
  <c r="H1407" i="2" s="1"/>
  <c r="G1624" i="2"/>
  <c r="H1624" i="2" s="1"/>
  <c r="G1124" i="2"/>
  <c r="H1124" i="2" s="1"/>
  <c r="G1106" i="2"/>
  <c r="H1106" i="2" s="1"/>
  <c r="G1113" i="2"/>
  <c r="H1113" i="2" s="1"/>
  <c r="G958" i="2"/>
  <c r="H958" i="2" s="1"/>
  <c r="G1634" i="2"/>
  <c r="H1634" i="2" s="1"/>
  <c r="G1192" i="2"/>
  <c r="H1192" i="2" s="1"/>
  <c r="G1131" i="2"/>
  <c r="H1131" i="2" s="1"/>
  <c r="H906" i="2"/>
  <c r="H938" i="2"/>
  <c r="H921" i="2"/>
  <c r="AG202" i="1"/>
  <c r="AJ202" i="1" s="1"/>
  <c r="I31" i="3" l="1"/>
  <c r="H31" i="3"/>
  <c r="F31" i="3"/>
  <c r="Y138" i="1"/>
  <c r="W67" i="1"/>
  <c r="AB135" i="1"/>
  <c r="Y167" i="1"/>
  <c r="S167" i="1"/>
  <c r="O167" i="1"/>
  <c r="K167" i="1"/>
  <c r="G167" i="1"/>
  <c r="Y166" i="1"/>
  <c r="S166" i="1"/>
  <c r="O166" i="1"/>
  <c r="K166" i="1"/>
  <c r="G166" i="1"/>
  <c r="Y165" i="1"/>
  <c r="S165" i="1"/>
  <c r="O165" i="1"/>
  <c r="K165" i="1"/>
  <c r="G165" i="1"/>
  <c r="Y164" i="1"/>
  <c r="S164" i="1"/>
  <c r="O164" i="1"/>
  <c r="K164" i="1"/>
  <c r="G164" i="1"/>
  <c r="Y163" i="1"/>
  <c r="S163" i="1"/>
  <c r="O163" i="1"/>
  <c r="K163" i="1"/>
  <c r="G163" i="1"/>
  <c r="AG163" i="1" s="1"/>
  <c r="Y162" i="1"/>
  <c r="S162" i="1"/>
  <c r="O162" i="1"/>
  <c r="K162" i="1"/>
  <c r="G162" i="1"/>
  <c r="Y161" i="1"/>
  <c r="S161" i="1"/>
  <c r="O161" i="1"/>
  <c r="K161" i="1"/>
  <c r="G161" i="1"/>
  <c r="Y160" i="1"/>
  <c r="S160" i="1"/>
  <c r="O160" i="1"/>
  <c r="K160" i="1"/>
  <c r="G160" i="1"/>
  <c r="Y159" i="1"/>
  <c r="S159" i="1"/>
  <c r="O159" i="1"/>
  <c r="K159" i="1"/>
  <c r="G159" i="1"/>
  <c r="Y158" i="1"/>
  <c r="S158" i="1"/>
  <c r="O158" i="1"/>
  <c r="K158" i="1"/>
  <c r="G158" i="1"/>
  <c r="Y157" i="1"/>
  <c r="S157" i="1"/>
  <c r="O157" i="1"/>
  <c r="K157" i="1"/>
  <c r="G157" i="1"/>
  <c r="Y156" i="1"/>
  <c r="S156" i="1"/>
  <c r="O156" i="1"/>
  <c r="K156" i="1"/>
  <c r="G156" i="1"/>
  <c r="Y155" i="1"/>
  <c r="S155" i="1"/>
  <c r="O155" i="1"/>
  <c r="K155" i="1"/>
  <c r="G155" i="1"/>
  <c r="Y154" i="1"/>
  <c r="S154" i="1"/>
  <c r="O154" i="1"/>
  <c r="K154" i="1"/>
  <c r="G154" i="1"/>
  <c r="Y153" i="1"/>
  <c r="S153" i="1"/>
  <c r="O153" i="1"/>
  <c r="K153" i="1"/>
  <c r="G153" i="1"/>
  <c r="Y152" i="1"/>
  <c r="S152" i="1"/>
  <c r="O152" i="1"/>
  <c r="K152" i="1"/>
  <c r="G152" i="1"/>
  <c r="Y151" i="1"/>
  <c r="S151" i="1"/>
  <c r="O151" i="1"/>
  <c r="K151" i="1"/>
  <c r="G151" i="1"/>
  <c r="AG151" i="1" s="1"/>
  <c r="Y150" i="1"/>
  <c r="S150" i="1"/>
  <c r="O150" i="1"/>
  <c r="K150" i="1"/>
  <c r="G150" i="1"/>
  <c r="Y149" i="1"/>
  <c r="S149" i="1"/>
  <c r="O149" i="1"/>
  <c r="K149" i="1"/>
  <c r="G149" i="1"/>
  <c r="Y148" i="1"/>
  <c r="S148" i="1"/>
  <c r="O148" i="1"/>
  <c r="K148" i="1"/>
  <c r="G148" i="1"/>
  <c r="Y147" i="1"/>
  <c r="S147" i="1"/>
  <c r="O147" i="1"/>
  <c r="K147" i="1"/>
  <c r="G147" i="1"/>
  <c r="Y146" i="1"/>
  <c r="S146" i="1"/>
  <c r="O146" i="1"/>
  <c r="K146" i="1"/>
  <c r="G146" i="1"/>
  <c r="Y145" i="1"/>
  <c r="S145" i="1"/>
  <c r="O145" i="1"/>
  <c r="K145" i="1"/>
  <c r="G145" i="1"/>
  <c r="Y144" i="1"/>
  <c r="S144" i="1"/>
  <c r="O144" i="1"/>
  <c r="K144" i="1"/>
  <c r="G144" i="1"/>
  <c r="Y143" i="1"/>
  <c r="S143" i="1"/>
  <c r="O143" i="1"/>
  <c r="K143" i="1"/>
  <c r="G143" i="1"/>
  <c r="Y142" i="1"/>
  <c r="S142" i="1"/>
  <c r="O142" i="1"/>
  <c r="K142" i="1"/>
  <c r="G142" i="1"/>
  <c r="Y141" i="1"/>
  <c r="S141" i="1"/>
  <c r="O141" i="1"/>
  <c r="K141" i="1"/>
  <c r="G141" i="1"/>
  <c r="Y140" i="1"/>
  <c r="S140" i="1"/>
  <c r="O140" i="1"/>
  <c r="K140" i="1"/>
  <c r="G140" i="1"/>
  <c r="Y139" i="1"/>
  <c r="S139" i="1"/>
  <c r="O139" i="1"/>
  <c r="K139" i="1"/>
  <c r="G139" i="1"/>
  <c r="S138" i="1"/>
  <c r="O138" i="1"/>
  <c r="K138" i="1"/>
  <c r="G138" i="1"/>
  <c r="AG155" i="1" l="1"/>
  <c r="AG167" i="1"/>
  <c r="AG158" i="1"/>
  <c r="AG166" i="1"/>
  <c r="AG154" i="1"/>
  <c r="G1578" i="2"/>
  <c r="H1578" i="2" s="1"/>
  <c r="G1451" i="2"/>
  <c r="H1451" i="2" s="1"/>
  <c r="G1520" i="2"/>
  <c r="H1520" i="2" s="1"/>
  <c r="G1402" i="2"/>
  <c r="H1402" i="2" s="1"/>
  <c r="G1643" i="2"/>
  <c r="H1643" i="2" s="1"/>
  <c r="G1561" i="2"/>
  <c r="H1561" i="2" s="1"/>
  <c r="G1619" i="2"/>
  <c r="H1619" i="2" s="1"/>
  <c r="G885" i="2"/>
  <c r="H885" i="2" s="1"/>
  <c r="G953" i="2"/>
  <c r="H953" i="2" s="1"/>
  <c r="AG162" i="1"/>
  <c r="G1558" i="2"/>
  <c r="H1558" i="2" s="1"/>
  <c r="G1278" i="2"/>
  <c r="H1278" i="2" s="1"/>
  <c r="G1616" i="2"/>
  <c r="H1616" i="2" s="1"/>
  <c r="G1517" i="2"/>
  <c r="H1517" i="2" s="1"/>
  <c r="G1575" i="2"/>
  <c r="H1575" i="2" s="1"/>
  <c r="G1448" i="2"/>
  <c r="H1448" i="2" s="1"/>
  <c r="G1085" i="2"/>
  <c r="H1085" i="2" s="1"/>
  <c r="G950" i="2"/>
  <c r="H950" i="2" s="1"/>
  <c r="G1063" i="2"/>
  <c r="H1063" i="2" s="1"/>
  <c r="G882" i="2"/>
  <c r="H882" i="2" s="1"/>
  <c r="G1270" i="2"/>
  <c r="H1270" i="2" s="1"/>
  <c r="G1572" i="2"/>
  <c r="H1572" i="2" s="1"/>
  <c r="G1395" i="2"/>
  <c r="H1395" i="2" s="1"/>
  <c r="G1509" i="2"/>
  <c r="H1509" i="2" s="1"/>
  <c r="G942" i="2"/>
  <c r="H942" i="2" s="1"/>
  <c r="G1077" i="2"/>
  <c r="H1077" i="2" s="1"/>
  <c r="G1056" i="2"/>
  <c r="H1056" i="2" s="1"/>
  <c r="G1011" i="2"/>
  <c r="H1011" i="2" s="1"/>
  <c r="G1034" i="2"/>
  <c r="H1034" i="2" s="1"/>
  <c r="G1022" i="2"/>
  <c r="H1022" i="2" s="1"/>
  <c r="G1069" i="2"/>
  <c r="H1069" i="2" s="1"/>
  <c r="AG159" i="1"/>
  <c r="AG152" i="1"/>
  <c r="AG156" i="1"/>
  <c r="AG160" i="1"/>
  <c r="AG164" i="1"/>
  <c r="AG153" i="1"/>
  <c r="AG157" i="1"/>
  <c r="AG161" i="1"/>
  <c r="AG165" i="1"/>
  <c r="AG150" i="1"/>
  <c r="AG138" i="1"/>
  <c r="AG145" i="1"/>
  <c r="AG148" i="1"/>
  <c r="AG144" i="1"/>
  <c r="AG147" i="1"/>
  <c r="AG143" i="1"/>
  <c r="AG140" i="1"/>
  <c r="AG142" i="1"/>
  <c r="AG139" i="1"/>
  <c r="AG146" i="1"/>
  <c r="AG141" i="1"/>
  <c r="AG149" i="1"/>
  <c r="Y128" i="1"/>
  <c r="Y129" i="1"/>
  <c r="Y130" i="1"/>
  <c r="Y131" i="1"/>
  <c r="Y132" i="1"/>
  <c r="Y133" i="1"/>
  <c r="Y134" i="1"/>
  <c r="G1543" i="2" l="1"/>
  <c r="H1543" i="2" s="1"/>
  <c r="G1550" i="2"/>
  <c r="H1550" i="2" s="1"/>
  <c r="G1389" i="2"/>
  <c r="H1389" i="2" s="1"/>
  <c r="G1486" i="2"/>
  <c r="H1486" i="2" s="1"/>
  <c r="G1503" i="2"/>
  <c r="H1503" i="2" s="1"/>
  <c r="G1264" i="2"/>
  <c r="H1264" i="2" s="1"/>
  <c r="G1174" i="2"/>
  <c r="H1174" i="2" s="1"/>
  <c r="G989" i="2"/>
  <c r="H989" i="2" s="1"/>
  <c r="G1005" i="2"/>
  <c r="H1005" i="2" s="1"/>
  <c r="G1028" i="2"/>
  <c r="H1028" i="2" s="1"/>
  <c r="G971" i="2"/>
  <c r="H971" i="2" s="1"/>
  <c r="G1397" i="2"/>
  <c r="H1397" i="2" s="1"/>
  <c r="G1272" i="2"/>
  <c r="H1272" i="2" s="1"/>
  <c r="G1511" i="2"/>
  <c r="H1511" i="2" s="1"/>
  <c r="G1598" i="2"/>
  <c r="H1598" i="2" s="1"/>
  <c r="G1045" i="2"/>
  <c r="H1045" i="2" s="1"/>
  <c r="G1058" i="2"/>
  <c r="H1058" i="2" s="1"/>
  <c r="G944" i="2"/>
  <c r="H944" i="2" s="1"/>
  <c r="G1079" i="2"/>
  <c r="H1079" i="2" s="1"/>
  <c r="G1071" i="2"/>
  <c r="H1071" i="2" s="1"/>
  <c r="G1551" i="2"/>
  <c r="H1551" i="2" s="1"/>
  <c r="G1544" i="2"/>
  <c r="H1544" i="2" s="1"/>
  <c r="G1390" i="2"/>
  <c r="H1390" i="2" s="1"/>
  <c r="G1504" i="2"/>
  <c r="H1504" i="2" s="1"/>
  <c r="G1265" i="2"/>
  <c r="H1265" i="2" s="1"/>
  <c r="G990" i="2"/>
  <c r="H990" i="2" s="1"/>
  <c r="G1006" i="2"/>
  <c r="H1006" i="2" s="1"/>
  <c r="G972" i="2"/>
  <c r="H972" i="2" s="1"/>
  <c r="G1029" i="2"/>
  <c r="H1029" i="2" s="1"/>
  <c r="G1570" i="2"/>
  <c r="H1570" i="2" s="1"/>
  <c r="G1507" i="2"/>
  <c r="H1507" i="2" s="1"/>
  <c r="G1268" i="2"/>
  <c r="H1268" i="2" s="1"/>
  <c r="G1393" i="2"/>
  <c r="H1393" i="2" s="1"/>
  <c r="G1176" i="2"/>
  <c r="H1176" i="2" s="1"/>
  <c r="G941" i="2"/>
  <c r="H941" i="2" s="1"/>
  <c r="G1032" i="2"/>
  <c r="H1032" i="2" s="1"/>
  <c r="G1009" i="2"/>
  <c r="H1009" i="2" s="1"/>
  <c r="G1067" i="2"/>
  <c r="H1067" i="2" s="1"/>
  <c r="G1020" i="2"/>
  <c r="H1020" i="2" s="1"/>
  <c r="G993" i="2"/>
  <c r="H993" i="2" s="1"/>
  <c r="G1054" i="2"/>
  <c r="H1054" i="2" s="1"/>
  <c r="G1039" i="2"/>
  <c r="H1039" i="2" s="1"/>
  <c r="G1262" i="2"/>
  <c r="H1262" i="2" s="1"/>
  <c r="G1501" i="2"/>
  <c r="H1501" i="2" s="1"/>
  <c r="G1387" i="2"/>
  <c r="H1387" i="2" s="1"/>
  <c r="G1172" i="2"/>
  <c r="H1172" i="2" s="1"/>
  <c r="G1018" i="2"/>
  <c r="H1018" i="2" s="1"/>
  <c r="G905" i="2"/>
  <c r="H905" i="2" s="1"/>
  <c r="G987" i="2"/>
  <c r="H987" i="2" s="1"/>
  <c r="G1003" i="2"/>
  <c r="H1003" i="2" s="1"/>
  <c r="G969" i="2"/>
  <c r="H969" i="2" s="1"/>
  <c r="G919" i="2"/>
  <c r="H919" i="2" s="1"/>
  <c r="G1514" i="2"/>
  <c r="H1514" i="2" s="1"/>
  <c r="G1601" i="2"/>
  <c r="H1601" i="2" s="1"/>
  <c r="G1555" i="2"/>
  <c r="H1555" i="2" s="1"/>
  <c r="G1613" i="2"/>
  <c r="H1613" i="2" s="1"/>
  <c r="G1275" i="2"/>
  <c r="H1275" i="2" s="1"/>
  <c r="G1445" i="2"/>
  <c r="H1445" i="2" s="1"/>
  <c r="G1400" i="2"/>
  <c r="H1400" i="2" s="1"/>
  <c r="G1073" i="2"/>
  <c r="H1073" i="2" s="1"/>
  <c r="G1061" i="2"/>
  <c r="H1061" i="2" s="1"/>
  <c r="G1090" i="2"/>
  <c r="H1090" i="2" s="1"/>
  <c r="G947" i="2"/>
  <c r="H947" i="2" s="1"/>
  <c r="G879" i="2"/>
  <c r="H879" i="2" s="1"/>
  <c r="G1082" i="2"/>
  <c r="H1082" i="2" s="1"/>
  <c r="G1048" i="2"/>
  <c r="H1048" i="2" s="1"/>
  <c r="G1396" i="2"/>
  <c r="H1396" i="2" s="1"/>
  <c r="G1271" i="2"/>
  <c r="H1271" i="2" s="1"/>
  <c r="G1597" i="2"/>
  <c r="H1597" i="2" s="1"/>
  <c r="G1510" i="2"/>
  <c r="H1510" i="2" s="1"/>
  <c r="G943" i="2"/>
  <c r="H943" i="2" s="1"/>
  <c r="G1057" i="2"/>
  <c r="H1057" i="2" s="1"/>
  <c r="G1023" i="2"/>
  <c r="H1023" i="2" s="1"/>
  <c r="G1078" i="2"/>
  <c r="H1078" i="2" s="1"/>
  <c r="G1070" i="2"/>
  <c r="H1070" i="2" s="1"/>
  <c r="G1557" i="2"/>
  <c r="H1557" i="2" s="1"/>
  <c r="G1615" i="2"/>
  <c r="H1615" i="2" s="1"/>
  <c r="G1277" i="2"/>
  <c r="H1277" i="2" s="1"/>
  <c r="G1328" i="2"/>
  <c r="H1328" i="2" s="1"/>
  <c r="G1447" i="2"/>
  <c r="H1447" i="2" s="1"/>
  <c r="G1516" i="2"/>
  <c r="H1516" i="2" s="1"/>
  <c r="G1574" i="2"/>
  <c r="H1574" i="2" s="1"/>
  <c r="G1092" i="2"/>
  <c r="H1092" i="2" s="1"/>
  <c r="G1084" i="2"/>
  <c r="H1084" i="2" s="1"/>
  <c r="G1050" i="2"/>
  <c r="H1050" i="2" s="1"/>
  <c r="G949" i="2"/>
  <c r="H949" i="2" s="1"/>
  <c r="G881" i="2"/>
  <c r="H881" i="2" s="1"/>
  <c r="G1480" i="2"/>
  <c r="H1480" i="2" s="1"/>
  <c r="G1167" i="2"/>
  <c r="H1167" i="2" s="1"/>
  <c r="G914" i="2"/>
  <c r="H914" i="2" s="1"/>
  <c r="G932" i="2"/>
  <c r="H932" i="2" s="1"/>
  <c r="G898" i="2"/>
  <c r="H898" i="2" s="1"/>
  <c r="G980" i="2"/>
  <c r="H980" i="2" s="1"/>
  <c r="G1360" i="2"/>
  <c r="H1360" i="2" s="1"/>
  <c r="G1344" i="2"/>
  <c r="H1344" i="2" s="1"/>
  <c r="G1383" i="2"/>
  <c r="H1383" i="2" s="1"/>
  <c r="G1483" i="2"/>
  <c r="H1483" i="2" s="1"/>
  <c r="G1170" i="2"/>
  <c r="H1170" i="2" s="1"/>
  <c r="G983" i="2"/>
  <c r="H983" i="2" s="1"/>
  <c r="G999" i="2"/>
  <c r="H999" i="2" s="1"/>
  <c r="G935" i="2"/>
  <c r="H935" i="2" s="1"/>
  <c r="G901" i="2"/>
  <c r="H901" i="2" s="1"/>
  <c r="G965" i="2"/>
  <c r="H965" i="2" s="1"/>
  <c r="G1449" i="2"/>
  <c r="H1449" i="2" s="1"/>
  <c r="G1617" i="2"/>
  <c r="H1617" i="2" s="1"/>
  <c r="G1559" i="2"/>
  <c r="H1559" i="2" s="1"/>
  <c r="G1576" i="2"/>
  <c r="H1576" i="2" s="1"/>
  <c r="G1518" i="2"/>
  <c r="H1518" i="2" s="1"/>
  <c r="G1177" i="2"/>
  <c r="H1177" i="2" s="1"/>
  <c r="G1093" i="2"/>
  <c r="H1093" i="2" s="1"/>
  <c r="G883" i="2"/>
  <c r="H883" i="2" s="1"/>
  <c r="G951" i="2"/>
  <c r="H951" i="2" s="1"/>
  <c r="G1342" i="2"/>
  <c r="H1342" i="2" s="1"/>
  <c r="G1381" i="2"/>
  <c r="H1381" i="2" s="1"/>
  <c r="G1481" i="2"/>
  <c r="H1481" i="2" s="1"/>
  <c r="G1168" i="2"/>
  <c r="H1168" i="2" s="1"/>
  <c r="G981" i="2"/>
  <c r="H981" i="2" s="1"/>
  <c r="G933" i="2"/>
  <c r="H933" i="2" s="1"/>
  <c r="G915" i="2"/>
  <c r="H915" i="2" s="1"/>
  <c r="G899" i="2"/>
  <c r="H899" i="2" s="1"/>
  <c r="G1345" i="2"/>
  <c r="H1345" i="2" s="1"/>
  <c r="G1506" i="2"/>
  <c r="H1506" i="2" s="1"/>
  <c r="G1546" i="2"/>
  <c r="H1546" i="2" s="1"/>
  <c r="G1553" i="2"/>
  <c r="H1553" i="2" s="1"/>
  <c r="G1392" i="2"/>
  <c r="H1392" i="2" s="1"/>
  <c r="G1267" i="2"/>
  <c r="H1267" i="2" s="1"/>
  <c r="G1569" i="2"/>
  <c r="H1569" i="2" s="1"/>
  <c r="G1175" i="2"/>
  <c r="H1175" i="2" s="1"/>
  <c r="G1008" i="2"/>
  <c r="H1008" i="2" s="1"/>
  <c r="G1031" i="2"/>
  <c r="H1031" i="2" s="1"/>
  <c r="G1019" i="2"/>
  <c r="H1019" i="2" s="1"/>
  <c r="G1038" i="2"/>
  <c r="H1038" i="2" s="1"/>
  <c r="G992" i="2"/>
  <c r="H992" i="2" s="1"/>
  <c r="G1485" i="2"/>
  <c r="H1485" i="2" s="1"/>
  <c r="G1385" i="2"/>
  <c r="H1385" i="2" s="1"/>
  <c r="G1260" i="2"/>
  <c r="H1260" i="2" s="1"/>
  <c r="G937" i="2"/>
  <c r="H937" i="2" s="1"/>
  <c r="G1016" i="2"/>
  <c r="H1016" i="2" s="1"/>
  <c r="G1001" i="2"/>
  <c r="H1001" i="2" s="1"/>
  <c r="G967" i="2"/>
  <c r="H967" i="2" s="1"/>
  <c r="G903" i="2"/>
  <c r="H903" i="2" s="1"/>
  <c r="G985" i="2"/>
  <c r="H985" i="2" s="1"/>
  <c r="G1450" i="2"/>
  <c r="H1450" i="2" s="1"/>
  <c r="G1519" i="2"/>
  <c r="H1519" i="2" s="1"/>
  <c r="G1560" i="2"/>
  <c r="H1560" i="2" s="1"/>
  <c r="G1618" i="2"/>
  <c r="H1618" i="2" s="1"/>
  <c r="G1577" i="2"/>
  <c r="H1577" i="2" s="1"/>
  <c r="G1642" i="2"/>
  <c r="H1642" i="2" s="1"/>
  <c r="G1401" i="2"/>
  <c r="H1401" i="2" s="1"/>
  <c r="G952" i="2"/>
  <c r="H952" i="2" s="1"/>
  <c r="G884" i="2"/>
  <c r="H884" i="2" s="1"/>
  <c r="G1261" i="2"/>
  <c r="H1261" i="2" s="1"/>
  <c r="G1386" i="2"/>
  <c r="H1386" i="2" s="1"/>
  <c r="G1002" i="2"/>
  <c r="H1002" i="2" s="1"/>
  <c r="G1017" i="2"/>
  <c r="H1017" i="2" s="1"/>
  <c r="G968" i="2"/>
  <c r="H968" i="2" s="1"/>
  <c r="G918" i="2"/>
  <c r="H918" i="2" s="1"/>
  <c r="G904" i="2"/>
  <c r="H904" i="2" s="1"/>
  <c r="G986" i="2"/>
  <c r="H986" i="2" s="1"/>
  <c r="G1505" i="2"/>
  <c r="H1505" i="2" s="1"/>
  <c r="G1568" i="2"/>
  <c r="H1568" i="2" s="1"/>
  <c r="G1545" i="2"/>
  <c r="H1545" i="2" s="1"/>
  <c r="G1552" i="2"/>
  <c r="H1552" i="2" s="1"/>
  <c r="G1391" i="2"/>
  <c r="H1391" i="2" s="1"/>
  <c r="G1266" i="2"/>
  <c r="H1266" i="2" s="1"/>
  <c r="G1030" i="2"/>
  <c r="H1030" i="2" s="1"/>
  <c r="G991" i="2"/>
  <c r="H991" i="2" s="1"/>
  <c r="G973" i="2"/>
  <c r="H973" i="2" s="1"/>
  <c r="G1007" i="2"/>
  <c r="H1007" i="2" s="1"/>
  <c r="G1276" i="2"/>
  <c r="H1276" i="2" s="1"/>
  <c r="G1515" i="2"/>
  <c r="H1515" i="2" s="1"/>
  <c r="G1556" i="2"/>
  <c r="H1556" i="2" s="1"/>
  <c r="G1614" i="2"/>
  <c r="H1614" i="2" s="1"/>
  <c r="G1446" i="2"/>
  <c r="H1446" i="2" s="1"/>
  <c r="G1083" i="2"/>
  <c r="H1083" i="2" s="1"/>
  <c r="G1049" i="2"/>
  <c r="H1049" i="2" s="1"/>
  <c r="G1062" i="2"/>
  <c r="H1062" i="2" s="1"/>
  <c r="G880" i="2"/>
  <c r="H880" i="2" s="1"/>
  <c r="G948" i="2"/>
  <c r="H948" i="2" s="1"/>
  <c r="G1091" i="2"/>
  <c r="H1091" i="2" s="1"/>
  <c r="G1259" i="2"/>
  <c r="H1259" i="2" s="1"/>
  <c r="G1384" i="2"/>
  <c r="H1384" i="2" s="1"/>
  <c r="G1484" i="2"/>
  <c r="H1484" i="2" s="1"/>
  <c r="G1171" i="2"/>
  <c r="H1171" i="2" s="1"/>
  <c r="G1000" i="2"/>
  <c r="H1000" i="2" s="1"/>
  <c r="G966" i="2"/>
  <c r="H966" i="2" s="1"/>
  <c r="G917" i="2"/>
  <c r="H917" i="2" s="1"/>
  <c r="G902" i="2"/>
  <c r="H902" i="2" s="1"/>
  <c r="G1015" i="2"/>
  <c r="H1015" i="2" s="1"/>
  <c r="G984" i="2"/>
  <c r="H984" i="2" s="1"/>
  <c r="G936" i="2"/>
  <c r="H936" i="2" s="1"/>
  <c r="G1382" i="2"/>
  <c r="H1382" i="2" s="1"/>
  <c r="G1482" i="2"/>
  <c r="H1482" i="2" s="1"/>
  <c r="G1343" i="2"/>
  <c r="H1343" i="2" s="1"/>
  <c r="G1169" i="2"/>
  <c r="H1169" i="2" s="1"/>
  <c r="G916" i="2"/>
  <c r="H916" i="2" s="1"/>
  <c r="G982" i="2"/>
  <c r="H982" i="2" s="1"/>
  <c r="G900" i="2"/>
  <c r="H900" i="2" s="1"/>
  <c r="G964" i="2"/>
  <c r="H964" i="2" s="1"/>
  <c r="G934" i="2"/>
  <c r="H934" i="2" s="1"/>
  <c r="G998" i="2"/>
  <c r="H998" i="2" s="1"/>
  <c r="G1513" i="2"/>
  <c r="H1513" i="2" s="1"/>
  <c r="G1600" i="2"/>
  <c r="H1600" i="2" s="1"/>
  <c r="G1274" i="2"/>
  <c r="H1274" i="2" s="1"/>
  <c r="G1573" i="2"/>
  <c r="H1573" i="2" s="1"/>
  <c r="G1399" i="2"/>
  <c r="H1399" i="2" s="1"/>
  <c r="G1612" i="2"/>
  <c r="H1612" i="2" s="1"/>
  <c r="G1554" i="2"/>
  <c r="H1554" i="2" s="1"/>
  <c r="G1072" i="2"/>
  <c r="H1072" i="2" s="1"/>
  <c r="G1060" i="2"/>
  <c r="H1060" i="2" s="1"/>
  <c r="G1089" i="2"/>
  <c r="H1089" i="2" s="1"/>
  <c r="G1081" i="2"/>
  <c r="H1081" i="2" s="1"/>
  <c r="G946" i="2"/>
  <c r="H946" i="2" s="1"/>
  <c r="G1047" i="2"/>
  <c r="H1047" i="2" s="1"/>
  <c r="G775" i="2"/>
  <c r="H775" i="2" s="1"/>
  <c r="G1394" i="2"/>
  <c r="H1394" i="2" s="1"/>
  <c r="G1269" i="2"/>
  <c r="H1269" i="2" s="1"/>
  <c r="G1571" i="2"/>
  <c r="H1571" i="2" s="1"/>
  <c r="G1508" i="2"/>
  <c r="H1508" i="2" s="1"/>
  <c r="G1010" i="2"/>
  <c r="H1010" i="2" s="1"/>
  <c r="G1040" i="2"/>
  <c r="H1040" i="2" s="1"/>
  <c r="G994" i="2"/>
  <c r="H994" i="2" s="1"/>
  <c r="G1055" i="2"/>
  <c r="H1055" i="2" s="1"/>
  <c r="G1033" i="2"/>
  <c r="H1033" i="2" s="1"/>
  <c r="G1021" i="2"/>
  <c r="H1021" i="2" s="1"/>
  <c r="G1068" i="2"/>
  <c r="H1068" i="2" s="1"/>
  <c r="G1263" i="2"/>
  <c r="H1263" i="2" s="1"/>
  <c r="G1388" i="2"/>
  <c r="H1388" i="2" s="1"/>
  <c r="G1542" i="2"/>
  <c r="H1542" i="2" s="1"/>
  <c r="G1444" i="2"/>
  <c r="H1444" i="2" s="1"/>
  <c r="G1502" i="2"/>
  <c r="H1502" i="2" s="1"/>
  <c r="G1173" i="2"/>
  <c r="H1173" i="2" s="1"/>
  <c r="G878" i="2"/>
  <c r="H878" i="2" s="1"/>
  <c r="G1004" i="2"/>
  <c r="H1004" i="2" s="1"/>
  <c r="G988" i="2"/>
  <c r="H988" i="2" s="1"/>
  <c r="G970" i="2"/>
  <c r="H970" i="2" s="1"/>
  <c r="G1027" i="2"/>
  <c r="H1027" i="2" s="1"/>
  <c r="G920" i="2"/>
  <c r="H920" i="2" s="1"/>
  <c r="G1398" i="2"/>
  <c r="H1398" i="2" s="1"/>
  <c r="G1599" i="2"/>
  <c r="H1599" i="2" s="1"/>
  <c r="G1273" i="2"/>
  <c r="H1273" i="2" s="1"/>
  <c r="G1512" i="2"/>
  <c r="H1512" i="2" s="1"/>
  <c r="G945" i="2"/>
  <c r="H945" i="2" s="1"/>
  <c r="G1046" i="2"/>
  <c r="H1046" i="2" s="1"/>
  <c r="G1080" i="2"/>
  <c r="H1080" i="2" s="1"/>
  <c r="G1059" i="2"/>
  <c r="H1059" i="2" s="1"/>
  <c r="AG168" i="1"/>
  <c r="AJ168" i="1" s="1"/>
  <c r="S134" i="1"/>
  <c r="S133" i="1"/>
  <c r="S132" i="1"/>
  <c r="S131" i="1"/>
  <c r="S130" i="1"/>
  <c r="S129" i="1"/>
  <c r="S128" i="1"/>
  <c r="O128" i="1"/>
  <c r="O129" i="1"/>
  <c r="O130" i="1"/>
  <c r="O131" i="1"/>
  <c r="O132" i="1"/>
  <c r="O133" i="1"/>
  <c r="O134" i="1"/>
  <c r="K128" i="1" l="1"/>
  <c r="K129" i="1"/>
  <c r="K130" i="1"/>
  <c r="K131" i="1"/>
  <c r="K132" i="1"/>
  <c r="K133" i="1"/>
  <c r="K134" i="1"/>
  <c r="G134" i="1"/>
  <c r="AA134" i="1" s="1"/>
  <c r="G133" i="1" l="1"/>
  <c r="AA133" i="1" s="1"/>
  <c r="G132" i="1"/>
  <c r="AA132" i="1" s="1"/>
  <c r="G131" i="1"/>
  <c r="AA131" i="1" s="1"/>
  <c r="G130" i="1"/>
  <c r="AA130" i="1" s="1"/>
  <c r="G129" i="1"/>
  <c r="AA129" i="1" s="1"/>
  <c r="G128" i="1"/>
  <c r="AA128" i="1" s="1"/>
  <c r="G1431" i="2" l="1"/>
  <c r="H1431" i="2" s="1"/>
  <c r="G1465" i="2"/>
  <c r="H1465" i="2" s="1"/>
  <c r="G1376" i="2"/>
  <c r="H1376" i="2" s="1"/>
  <c r="G1494" i="2"/>
  <c r="H1494" i="2" s="1"/>
  <c r="G1475" i="2"/>
  <c r="H1475" i="2" s="1"/>
  <c r="G1497" i="2"/>
  <c r="H1497" i="2" s="1"/>
  <c r="G1478" i="2"/>
  <c r="H1478" i="2" s="1"/>
  <c r="G1379" i="2"/>
  <c r="H1379" i="2" s="1"/>
  <c r="G806" i="2"/>
  <c r="H806" i="2" s="1"/>
  <c r="G1464" i="2"/>
  <c r="H1464" i="2" s="1"/>
  <c r="G1375" i="2"/>
  <c r="H1375" i="2" s="1"/>
  <c r="G1430" i="2"/>
  <c r="H1430" i="2" s="1"/>
  <c r="G1359" i="2"/>
  <c r="H1359" i="2" s="1"/>
  <c r="G1493" i="2"/>
  <c r="H1493" i="2" s="1"/>
  <c r="G1474" i="2"/>
  <c r="H1474" i="2" s="1"/>
  <c r="G1476" i="2"/>
  <c r="H1476" i="2" s="1"/>
  <c r="G1466" i="2"/>
  <c r="H1466" i="2" s="1"/>
  <c r="G1377" i="2"/>
  <c r="H1377" i="2" s="1"/>
  <c r="G1495" i="2"/>
  <c r="H1495" i="2" s="1"/>
  <c r="G1477" i="2"/>
  <c r="H1477" i="2" s="1"/>
  <c r="G1378" i="2"/>
  <c r="H1378" i="2" s="1"/>
  <c r="G1496" i="2"/>
  <c r="H1496" i="2" s="1"/>
  <c r="G1479" i="2"/>
  <c r="H1479" i="2" s="1"/>
  <c r="G1380" i="2"/>
  <c r="H1380" i="2" s="1"/>
  <c r="D656" i="2" l="1"/>
  <c r="H656" i="2" s="1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79" i="2"/>
  <c r="D579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55" i="2"/>
  <c r="D55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35" i="2"/>
  <c r="D535" i="2" s="1"/>
  <c r="D529" i="2" l="1"/>
  <c r="H529" i="2" s="1"/>
  <c r="D530" i="2"/>
  <c r="H530" i="2" s="1"/>
  <c r="C514" i="2"/>
  <c r="D514" i="2" s="1"/>
  <c r="H514" i="2" s="1"/>
  <c r="C515" i="2"/>
  <c r="D515" i="2" s="1"/>
  <c r="H515" i="2" s="1"/>
  <c r="C516" i="2"/>
  <c r="D516" i="2" s="1"/>
  <c r="H516" i="2" s="1"/>
  <c r="C517" i="2"/>
  <c r="D517" i="2" s="1"/>
  <c r="H517" i="2" s="1"/>
  <c r="C518" i="2"/>
  <c r="D518" i="2" s="1"/>
  <c r="H518" i="2" s="1"/>
  <c r="C519" i="2"/>
  <c r="D519" i="2" s="1"/>
  <c r="H519" i="2" s="1"/>
  <c r="C520" i="2"/>
  <c r="D520" i="2" s="1"/>
  <c r="H520" i="2" s="1"/>
  <c r="C521" i="2"/>
  <c r="D521" i="2" s="1"/>
  <c r="H521" i="2" s="1"/>
  <c r="C522" i="2"/>
  <c r="D522" i="2" s="1"/>
  <c r="H522" i="2" s="1"/>
  <c r="C523" i="2"/>
  <c r="D523" i="2" s="1"/>
  <c r="H523" i="2" s="1"/>
  <c r="C524" i="2"/>
  <c r="D524" i="2" s="1"/>
  <c r="H524" i="2" s="1"/>
  <c r="C525" i="2"/>
  <c r="D525" i="2" s="1"/>
  <c r="H525" i="2" s="1"/>
  <c r="C526" i="2"/>
  <c r="D526" i="2" s="1"/>
  <c r="H526" i="2" s="1"/>
  <c r="C527" i="2"/>
  <c r="D527" i="2" s="1"/>
  <c r="H527" i="2" s="1"/>
  <c r="C528" i="2"/>
  <c r="D528" i="2" s="1"/>
  <c r="H528" i="2" s="1"/>
  <c r="C513" i="2"/>
  <c r="D513" i="2" s="1"/>
  <c r="H513" i="2" s="1"/>
  <c r="C508" i="2"/>
  <c r="D508" i="2" s="1"/>
  <c r="H508" i="2" s="1"/>
  <c r="C509" i="2"/>
  <c r="D509" i="2" s="1"/>
  <c r="H509" i="2" s="1"/>
  <c r="C510" i="2"/>
  <c r="D510" i="2" s="1"/>
  <c r="H510" i="2" s="1"/>
  <c r="C511" i="2"/>
  <c r="D511" i="2" s="1"/>
  <c r="H511" i="2" s="1"/>
  <c r="C512" i="2"/>
  <c r="D512" i="2" s="1"/>
  <c r="H512" i="2" s="1"/>
  <c r="C507" i="2"/>
  <c r="D507" i="2" s="1"/>
  <c r="H507" i="2" s="1"/>
  <c r="D498" i="2"/>
  <c r="H498" i="2" s="1"/>
  <c r="C493" i="2"/>
  <c r="D493" i="2" s="1"/>
  <c r="C494" i="2"/>
  <c r="D494" i="2" s="1"/>
  <c r="C495" i="2"/>
  <c r="D495" i="2" s="1"/>
  <c r="C496" i="2"/>
  <c r="D496" i="2" s="1"/>
  <c r="C497" i="2"/>
  <c r="D497" i="2" s="1"/>
  <c r="C492" i="2"/>
  <c r="D492" i="2" s="1"/>
  <c r="H476" i="2"/>
  <c r="D477" i="2"/>
  <c r="H477" i="2" s="1"/>
  <c r="D478" i="2"/>
  <c r="H478" i="2" s="1"/>
  <c r="D479" i="2"/>
  <c r="H479" i="2" s="1"/>
  <c r="D480" i="2"/>
  <c r="H480" i="2" s="1"/>
  <c r="D481" i="2"/>
  <c r="H481" i="2" s="1"/>
  <c r="D482" i="2"/>
  <c r="H482" i="2" s="1"/>
  <c r="D483" i="2"/>
  <c r="H483" i="2" s="1"/>
  <c r="D484" i="2"/>
  <c r="H484" i="2" s="1"/>
  <c r="D485" i="2"/>
  <c r="H485" i="2" s="1"/>
  <c r="D486" i="2"/>
  <c r="H486" i="2" s="1"/>
  <c r="D487" i="2"/>
  <c r="H487" i="2" s="1"/>
  <c r="D488" i="2"/>
  <c r="H488" i="2" s="1"/>
  <c r="D476" i="2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04" i="1"/>
  <c r="F30" i="3"/>
  <c r="H30" i="3" s="1"/>
  <c r="I30" i="3" s="1"/>
  <c r="I29" i="3"/>
  <c r="E29" i="3"/>
  <c r="F28" i="3"/>
  <c r="H28" i="3" s="1"/>
  <c r="I28" i="3" s="1"/>
  <c r="F27" i="3"/>
  <c r="H27" i="3" s="1"/>
  <c r="I27" i="3" s="1"/>
  <c r="F26" i="3"/>
  <c r="H26" i="3" s="1"/>
  <c r="I26" i="3" s="1"/>
  <c r="F25" i="3"/>
  <c r="H25" i="3" s="1"/>
  <c r="I25" i="3" s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04" i="1"/>
  <c r="AB101" i="1"/>
  <c r="W35" i="1"/>
  <c r="AA115" i="1" l="1"/>
  <c r="AA110" i="1"/>
  <c r="AA114" i="1"/>
  <c r="AA116" i="1"/>
  <c r="AA105" i="1"/>
  <c r="G852" i="2" s="1"/>
  <c r="AA119" i="1"/>
  <c r="G863" i="2" s="1"/>
  <c r="AA113" i="1"/>
  <c r="AA112" i="1"/>
  <c r="AA117" i="1"/>
  <c r="AA120" i="1"/>
  <c r="AA122" i="1"/>
  <c r="AA111" i="1"/>
  <c r="AA106" i="1"/>
  <c r="AA125" i="1"/>
  <c r="AA108" i="1"/>
  <c r="AA104" i="1"/>
  <c r="AA124" i="1"/>
  <c r="AA121" i="1"/>
  <c r="AA126" i="1"/>
  <c r="AA109" i="1"/>
  <c r="AA123" i="1"/>
  <c r="AA107" i="1"/>
  <c r="C856" i="2"/>
  <c r="D856" i="2" s="1"/>
  <c r="C817" i="2"/>
  <c r="D817" i="2" s="1"/>
  <c r="C795" i="2"/>
  <c r="D795" i="2" s="1"/>
  <c r="C709" i="2"/>
  <c r="D709" i="2" s="1"/>
  <c r="C826" i="2"/>
  <c r="D826" i="2" s="1"/>
  <c r="C865" i="2"/>
  <c r="D865" i="2" s="1"/>
  <c r="C825" i="2"/>
  <c r="D825" i="2" s="1"/>
  <c r="C864" i="2"/>
  <c r="D864" i="2" s="1"/>
  <c r="C735" i="2"/>
  <c r="D735" i="2" s="1"/>
  <c r="C857" i="2"/>
  <c r="D857" i="2" s="1"/>
  <c r="C818" i="2"/>
  <c r="D818" i="2" s="1"/>
  <c r="C843" i="2"/>
  <c r="D843" i="2" s="1"/>
  <c r="C816" i="2"/>
  <c r="D816" i="2" s="1"/>
  <c r="C855" i="2"/>
  <c r="D855" i="2" s="1"/>
  <c r="C842" i="2"/>
  <c r="D842" i="2" s="1"/>
  <c r="C794" i="2"/>
  <c r="D794" i="2" s="1"/>
  <c r="C708" i="2"/>
  <c r="D708" i="2" s="1"/>
  <c r="C854" i="2"/>
  <c r="D854" i="2" s="1"/>
  <c r="C774" i="2"/>
  <c r="D774" i="2" s="1"/>
  <c r="C841" i="2"/>
  <c r="D841" i="2" s="1"/>
  <c r="C793" i="2"/>
  <c r="D793" i="2" s="1"/>
  <c r="C707" i="2"/>
  <c r="D707" i="2" s="1"/>
  <c r="C853" i="2"/>
  <c r="D853" i="2" s="1"/>
  <c r="C773" i="2"/>
  <c r="D773" i="2" s="1"/>
  <c r="C792" i="2"/>
  <c r="D792" i="2" s="1"/>
  <c r="C840" i="2"/>
  <c r="D840" i="2" s="1"/>
  <c r="C790" i="2"/>
  <c r="D790" i="2" s="1"/>
  <c r="C838" i="2"/>
  <c r="D838" i="2" s="1"/>
  <c r="C851" i="2"/>
  <c r="D851" i="2" s="1"/>
  <c r="C706" i="2"/>
  <c r="D706" i="2" s="1"/>
  <c r="C860" i="2"/>
  <c r="D860" i="2" s="1"/>
  <c r="C821" i="2"/>
  <c r="D821" i="2" s="1"/>
  <c r="C852" i="2"/>
  <c r="D852" i="2" s="1"/>
  <c r="C839" i="2"/>
  <c r="D839" i="2" s="1"/>
  <c r="C791" i="2"/>
  <c r="D791" i="2" s="1"/>
  <c r="C755" i="2"/>
  <c r="D755" i="2" s="1"/>
  <c r="C822" i="2"/>
  <c r="D822" i="2" s="1"/>
  <c r="C861" i="2"/>
  <c r="D861" i="2" s="1"/>
  <c r="C858" i="2"/>
  <c r="D858" i="2" s="1"/>
  <c r="C819" i="2"/>
  <c r="D819" i="2" s="1"/>
  <c r="C757" i="2"/>
  <c r="D757" i="2" s="1"/>
  <c r="C863" i="2"/>
  <c r="D863" i="2" s="1"/>
  <c r="C824" i="2"/>
  <c r="D824" i="2" s="1"/>
  <c r="C820" i="2"/>
  <c r="D820" i="2" s="1"/>
  <c r="C859" i="2"/>
  <c r="D859" i="2" s="1"/>
  <c r="AA127" i="1"/>
  <c r="AA118" i="1"/>
  <c r="G823" i="2" s="1"/>
  <c r="G791" i="2"/>
  <c r="G734" i="2"/>
  <c r="Y100" i="1"/>
  <c r="S100" i="1"/>
  <c r="O100" i="1"/>
  <c r="K100" i="1"/>
  <c r="G100" i="1"/>
  <c r="Y99" i="1"/>
  <c r="S99" i="1"/>
  <c r="O99" i="1"/>
  <c r="K99" i="1"/>
  <c r="G99" i="1"/>
  <c r="Y98" i="1"/>
  <c r="S98" i="1"/>
  <c r="O98" i="1"/>
  <c r="K98" i="1"/>
  <c r="G98" i="1"/>
  <c r="Y97" i="1"/>
  <c r="S97" i="1"/>
  <c r="O97" i="1"/>
  <c r="K97" i="1"/>
  <c r="G97" i="1"/>
  <c r="Y96" i="1"/>
  <c r="S96" i="1"/>
  <c r="O96" i="1"/>
  <c r="K96" i="1"/>
  <c r="G96" i="1"/>
  <c r="Y95" i="1"/>
  <c r="S95" i="1"/>
  <c r="O95" i="1"/>
  <c r="K95" i="1"/>
  <c r="G95" i="1"/>
  <c r="Y94" i="1"/>
  <c r="S94" i="1"/>
  <c r="O94" i="1"/>
  <c r="K94" i="1"/>
  <c r="G94" i="1"/>
  <c r="Y93" i="1"/>
  <c r="S93" i="1"/>
  <c r="O93" i="1"/>
  <c r="K93" i="1"/>
  <c r="G93" i="1"/>
  <c r="Y92" i="1"/>
  <c r="S92" i="1"/>
  <c r="O92" i="1"/>
  <c r="K92" i="1"/>
  <c r="G92" i="1"/>
  <c r="Y91" i="1"/>
  <c r="S91" i="1"/>
  <c r="O91" i="1"/>
  <c r="K91" i="1"/>
  <c r="G91" i="1"/>
  <c r="Y90" i="1"/>
  <c r="S90" i="1"/>
  <c r="O90" i="1"/>
  <c r="K90" i="1"/>
  <c r="G90" i="1"/>
  <c r="Y89" i="1"/>
  <c r="S89" i="1"/>
  <c r="O89" i="1"/>
  <c r="K89" i="1"/>
  <c r="G89" i="1"/>
  <c r="Y88" i="1"/>
  <c r="S88" i="1"/>
  <c r="O88" i="1"/>
  <c r="K88" i="1"/>
  <c r="G88" i="1"/>
  <c r="Y87" i="1"/>
  <c r="S87" i="1"/>
  <c r="O87" i="1"/>
  <c r="K87" i="1"/>
  <c r="G87" i="1"/>
  <c r="Y86" i="1"/>
  <c r="S86" i="1"/>
  <c r="O86" i="1"/>
  <c r="K86" i="1"/>
  <c r="G86" i="1"/>
  <c r="Y85" i="1"/>
  <c r="S85" i="1"/>
  <c r="O85" i="1"/>
  <c r="K85" i="1"/>
  <c r="G85" i="1"/>
  <c r="Y84" i="1"/>
  <c r="S84" i="1"/>
  <c r="O84" i="1"/>
  <c r="K84" i="1"/>
  <c r="G84" i="1"/>
  <c r="Y83" i="1"/>
  <c r="S83" i="1"/>
  <c r="O83" i="1"/>
  <c r="K83" i="1"/>
  <c r="G83" i="1"/>
  <c r="Y82" i="1"/>
  <c r="S82" i="1"/>
  <c r="O82" i="1"/>
  <c r="K82" i="1"/>
  <c r="G82" i="1"/>
  <c r="Y81" i="1"/>
  <c r="S81" i="1"/>
  <c r="O81" i="1"/>
  <c r="K81" i="1"/>
  <c r="G81" i="1"/>
  <c r="Y80" i="1"/>
  <c r="S80" i="1"/>
  <c r="O80" i="1"/>
  <c r="K80" i="1"/>
  <c r="G80" i="1"/>
  <c r="Y79" i="1"/>
  <c r="S79" i="1"/>
  <c r="O79" i="1"/>
  <c r="K79" i="1"/>
  <c r="G79" i="1"/>
  <c r="Y78" i="1"/>
  <c r="S78" i="1"/>
  <c r="O78" i="1"/>
  <c r="K78" i="1"/>
  <c r="G78" i="1"/>
  <c r="Y77" i="1"/>
  <c r="S77" i="1"/>
  <c r="O77" i="1"/>
  <c r="K77" i="1"/>
  <c r="G77" i="1"/>
  <c r="Y76" i="1"/>
  <c r="S76" i="1"/>
  <c r="O76" i="1"/>
  <c r="K76" i="1"/>
  <c r="G76" i="1"/>
  <c r="Y75" i="1"/>
  <c r="S75" i="1"/>
  <c r="O75" i="1"/>
  <c r="K75" i="1"/>
  <c r="G75" i="1"/>
  <c r="Y74" i="1"/>
  <c r="S74" i="1"/>
  <c r="O74" i="1"/>
  <c r="K74" i="1"/>
  <c r="G74" i="1"/>
  <c r="Y73" i="1"/>
  <c r="S73" i="1"/>
  <c r="O73" i="1"/>
  <c r="K73" i="1"/>
  <c r="G73" i="1"/>
  <c r="Y72" i="1"/>
  <c r="S72" i="1"/>
  <c r="O72" i="1"/>
  <c r="K72" i="1"/>
  <c r="G72" i="1"/>
  <c r="Y71" i="1"/>
  <c r="S71" i="1"/>
  <c r="O71" i="1"/>
  <c r="K71" i="1"/>
  <c r="G71" i="1"/>
  <c r="Y70" i="1"/>
  <c r="S70" i="1"/>
  <c r="O70" i="1"/>
  <c r="K70" i="1"/>
  <c r="G70" i="1"/>
  <c r="C322" i="2"/>
  <c r="H459" i="2"/>
  <c r="D454" i="2"/>
  <c r="D455" i="2"/>
  <c r="H455" i="2" s="1"/>
  <c r="D456" i="2"/>
  <c r="H456" i="2" s="1"/>
  <c r="D457" i="2"/>
  <c r="D458" i="2"/>
  <c r="H458" i="2" s="1"/>
  <c r="D459" i="2"/>
  <c r="D460" i="2"/>
  <c r="H460" i="2" s="1"/>
  <c r="D461" i="2"/>
  <c r="H461" i="2" s="1"/>
  <c r="D462" i="2"/>
  <c r="H462" i="2" s="1"/>
  <c r="D463" i="2"/>
  <c r="H463" i="2" s="1"/>
  <c r="D464" i="2"/>
  <c r="H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D453" i="2"/>
  <c r="D432" i="2"/>
  <c r="H432" i="2" s="1"/>
  <c r="D433" i="2"/>
  <c r="H433" i="2" s="1"/>
  <c r="D434" i="2"/>
  <c r="H434" i="2" s="1"/>
  <c r="D435" i="2"/>
  <c r="H435" i="2" s="1"/>
  <c r="D436" i="2"/>
  <c r="H436" i="2" s="1"/>
  <c r="D438" i="2"/>
  <c r="H438" i="2" s="1"/>
  <c r="D439" i="2"/>
  <c r="H439" i="2" s="1"/>
  <c r="D440" i="2"/>
  <c r="H440" i="2" s="1"/>
  <c r="C441" i="2"/>
  <c r="D441" i="2" s="1"/>
  <c r="C442" i="2"/>
  <c r="D442" i="2" s="1"/>
  <c r="C443" i="2"/>
  <c r="D443" i="2" s="1"/>
  <c r="D444" i="2"/>
  <c r="D445" i="2"/>
  <c r="D446" i="2"/>
  <c r="D447" i="2"/>
  <c r="D448" i="2"/>
  <c r="D431" i="2"/>
  <c r="H431" i="2" s="1"/>
  <c r="B437" i="2"/>
  <c r="D437" i="2" s="1"/>
  <c r="H437" i="2" s="1"/>
  <c r="B436" i="2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D426" i="2"/>
  <c r="D427" i="2"/>
  <c r="D388" i="2"/>
  <c r="H388" i="2" s="1"/>
  <c r="G756" i="2" l="1"/>
  <c r="G862" i="2"/>
  <c r="G839" i="2"/>
  <c r="G1322" i="2"/>
  <c r="H1322" i="2" s="1"/>
  <c r="G1306" i="2"/>
  <c r="H1306" i="2" s="1"/>
  <c r="G1354" i="2"/>
  <c r="H1354" i="2" s="1"/>
  <c r="G1338" i="2"/>
  <c r="H1338" i="2" s="1"/>
  <c r="G1246" i="2"/>
  <c r="H1246" i="2" s="1"/>
  <c r="G843" i="2"/>
  <c r="H843" i="2" s="1"/>
  <c r="G818" i="2"/>
  <c r="H818" i="2" s="1"/>
  <c r="G857" i="2"/>
  <c r="H857" i="2" s="1"/>
  <c r="G1458" i="2"/>
  <c r="H1458" i="2" s="1"/>
  <c r="G1439" i="2"/>
  <c r="H1439" i="2" s="1"/>
  <c r="G1254" i="2"/>
  <c r="H1254" i="2" s="1"/>
  <c r="G1425" i="2"/>
  <c r="H1425" i="2" s="1"/>
  <c r="G1369" i="2"/>
  <c r="H1369" i="2" s="1"/>
  <c r="G865" i="2"/>
  <c r="H865" i="2" s="1"/>
  <c r="G826" i="2"/>
  <c r="H826" i="2" s="1"/>
  <c r="G1366" i="2"/>
  <c r="H1366" i="2" s="1"/>
  <c r="G1422" i="2"/>
  <c r="H1422" i="2" s="1"/>
  <c r="G1309" i="2"/>
  <c r="H1309" i="2" s="1"/>
  <c r="G1327" i="2"/>
  <c r="H1327" i="2" s="1"/>
  <c r="G1251" i="2"/>
  <c r="H1251" i="2" s="1"/>
  <c r="G1350" i="2"/>
  <c r="H1350" i="2" s="1"/>
  <c r="G1301" i="2"/>
  <c r="H1301" i="2" s="1"/>
  <c r="G1316" i="2"/>
  <c r="H1316" i="2" s="1"/>
  <c r="G838" i="2"/>
  <c r="H838" i="2" s="1"/>
  <c r="G851" i="2"/>
  <c r="H851" i="2" s="1"/>
  <c r="G790" i="2"/>
  <c r="H790" i="2" s="1"/>
  <c r="G706" i="2"/>
  <c r="H706" i="2" s="1"/>
  <c r="G1250" i="2"/>
  <c r="H1250" i="2" s="1"/>
  <c r="G1421" i="2"/>
  <c r="H1421" i="2" s="1"/>
  <c r="G1326" i="2"/>
  <c r="H1326" i="2" s="1"/>
  <c r="G1365" i="2"/>
  <c r="H1365" i="2" s="1"/>
  <c r="G1341" i="2"/>
  <c r="H1341" i="2" s="1"/>
  <c r="G861" i="2"/>
  <c r="G755" i="2"/>
  <c r="H755" i="2" s="1"/>
  <c r="G822" i="2"/>
  <c r="H822" i="2" s="1"/>
  <c r="G1423" i="2"/>
  <c r="H1423" i="2" s="1"/>
  <c r="G1367" i="2"/>
  <c r="H1367" i="2" s="1"/>
  <c r="G1437" i="2"/>
  <c r="H1437" i="2" s="1"/>
  <c r="G1310" i="2"/>
  <c r="H1310" i="2" s="1"/>
  <c r="G1252" i="2"/>
  <c r="H1252" i="2" s="1"/>
  <c r="G1335" i="2"/>
  <c r="H1335" i="2" s="1"/>
  <c r="G1304" i="2"/>
  <c r="H1304" i="2" s="1"/>
  <c r="G1243" i="2"/>
  <c r="H1243" i="2" s="1"/>
  <c r="G1353" i="2"/>
  <c r="H1353" i="2" s="1"/>
  <c r="G1319" i="2"/>
  <c r="H1319" i="2" s="1"/>
  <c r="G841" i="2"/>
  <c r="H841" i="2" s="1"/>
  <c r="G774" i="2"/>
  <c r="H774" i="2" s="1"/>
  <c r="G793" i="2"/>
  <c r="H793" i="2" s="1"/>
  <c r="G854" i="2"/>
  <c r="H854" i="2" s="1"/>
  <c r="G707" i="2"/>
  <c r="H707" i="2" s="1"/>
  <c r="H861" i="2"/>
  <c r="G824" i="2"/>
  <c r="G1334" i="2"/>
  <c r="H1334" i="2" s="1"/>
  <c r="G1352" i="2"/>
  <c r="H1352" i="2" s="1"/>
  <c r="G1303" i="2"/>
  <c r="H1303" i="2" s="1"/>
  <c r="G1242" i="2"/>
  <c r="H1242" i="2" s="1"/>
  <c r="G1318" i="2"/>
  <c r="H1318" i="2" s="1"/>
  <c r="G840" i="2"/>
  <c r="H840" i="2" s="1"/>
  <c r="G773" i="2"/>
  <c r="H773" i="2" s="1"/>
  <c r="G792" i="2"/>
  <c r="H792" i="2" s="1"/>
  <c r="G853" i="2"/>
  <c r="H853" i="2" s="1"/>
  <c r="G1440" i="2"/>
  <c r="H1440" i="2" s="1"/>
  <c r="G1255" i="2"/>
  <c r="H1255" i="2" s="1"/>
  <c r="G1459" i="2"/>
  <c r="H1459" i="2" s="1"/>
  <c r="G1426" i="2"/>
  <c r="H1426" i="2" s="1"/>
  <c r="G1370" i="2"/>
  <c r="H1370" i="2" s="1"/>
  <c r="G1420" i="2"/>
  <c r="H1420" i="2" s="1"/>
  <c r="G1249" i="2"/>
  <c r="H1249" i="2" s="1"/>
  <c r="G1364" i="2"/>
  <c r="H1364" i="2" s="1"/>
  <c r="G1308" i="2"/>
  <c r="H1308" i="2" s="1"/>
  <c r="G1325" i="2"/>
  <c r="H1325" i="2" s="1"/>
  <c r="G821" i="2"/>
  <c r="H821" i="2" s="1"/>
  <c r="G860" i="2"/>
  <c r="H860" i="2" s="1"/>
  <c r="G1491" i="2"/>
  <c r="H1491" i="2" s="1"/>
  <c r="G1472" i="2"/>
  <c r="H1472" i="2" s="1"/>
  <c r="G1258" i="2"/>
  <c r="H1258" i="2" s="1"/>
  <c r="G1373" i="2"/>
  <c r="H1373" i="2" s="1"/>
  <c r="G1357" i="2"/>
  <c r="H1357" i="2" s="1"/>
  <c r="G1443" i="2"/>
  <c r="H1443" i="2" s="1"/>
  <c r="G1462" i="2"/>
  <c r="H1462" i="2" s="1"/>
  <c r="G1429" i="2"/>
  <c r="H1429" i="2" s="1"/>
  <c r="G1253" i="2"/>
  <c r="H1253" i="2" s="1"/>
  <c r="G1424" i="2"/>
  <c r="H1424" i="2" s="1"/>
  <c r="G1368" i="2"/>
  <c r="H1368" i="2" s="1"/>
  <c r="G1438" i="2"/>
  <c r="H1438" i="2" s="1"/>
  <c r="G864" i="2"/>
  <c r="H864" i="2" s="1"/>
  <c r="G825" i="2"/>
  <c r="H825" i="2" s="1"/>
  <c r="G735" i="2"/>
  <c r="H735" i="2" s="1"/>
  <c r="G1305" i="2"/>
  <c r="H1305" i="2" s="1"/>
  <c r="G1337" i="2"/>
  <c r="H1337" i="2" s="1"/>
  <c r="G1321" i="2"/>
  <c r="H1321" i="2" s="1"/>
  <c r="G1245" i="2"/>
  <c r="H1245" i="2" s="1"/>
  <c r="G817" i="2"/>
  <c r="H817" i="2" s="1"/>
  <c r="G856" i="2"/>
  <c r="H856" i="2" s="1"/>
  <c r="G795" i="2"/>
  <c r="H795" i="2" s="1"/>
  <c r="G709" i="2"/>
  <c r="H709" i="2" s="1"/>
  <c r="G1471" i="2"/>
  <c r="H1471" i="2" s="1"/>
  <c r="G1257" i="2"/>
  <c r="H1257" i="2" s="1"/>
  <c r="G1490" i="2"/>
  <c r="H1490" i="2" s="1"/>
  <c r="G1442" i="2"/>
  <c r="H1442" i="2" s="1"/>
  <c r="G1356" i="2"/>
  <c r="H1356" i="2" s="1"/>
  <c r="G1461" i="2"/>
  <c r="H1461" i="2" s="1"/>
  <c r="G1428" i="2"/>
  <c r="H1428" i="2" s="1"/>
  <c r="G1372" i="2"/>
  <c r="H1372" i="2" s="1"/>
  <c r="G757" i="2"/>
  <c r="H757" i="2" s="1"/>
  <c r="G1333" i="2"/>
  <c r="H1333" i="2" s="1"/>
  <c r="G1351" i="2"/>
  <c r="H1351" i="2" s="1"/>
  <c r="G1302" i="2"/>
  <c r="H1302" i="2" s="1"/>
  <c r="G1317" i="2"/>
  <c r="H1317" i="2" s="1"/>
  <c r="G805" i="2"/>
  <c r="H805" i="2" s="1"/>
  <c r="G1374" i="2"/>
  <c r="H1374" i="2" s="1"/>
  <c r="G1358" i="2"/>
  <c r="H1358" i="2" s="1"/>
  <c r="G1463" i="2"/>
  <c r="H1463" i="2" s="1"/>
  <c r="G1492" i="2"/>
  <c r="H1492" i="2" s="1"/>
  <c r="G1473" i="2"/>
  <c r="H1473" i="2" s="1"/>
  <c r="G1336" i="2"/>
  <c r="H1336" i="2" s="1"/>
  <c r="G1244" i="2"/>
  <c r="H1244" i="2" s="1"/>
  <c r="G1320" i="2"/>
  <c r="H1320" i="2" s="1"/>
  <c r="G816" i="2"/>
  <c r="H816" i="2" s="1"/>
  <c r="G842" i="2"/>
  <c r="H842" i="2" s="1"/>
  <c r="G794" i="2"/>
  <c r="H794" i="2" s="1"/>
  <c r="G855" i="2"/>
  <c r="H855" i="2" s="1"/>
  <c r="G708" i="2"/>
  <c r="H708" i="2" s="1"/>
  <c r="G1339" i="2"/>
  <c r="H1339" i="2" s="1"/>
  <c r="G1323" i="2"/>
  <c r="H1323" i="2" s="1"/>
  <c r="G1247" i="2"/>
  <c r="H1247" i="2" s="1"/>
  <c r="G858" i="2"/>
  <c r="H858" i="2" s="1"/>
  <c r="G819" i="2"/>
  <c r="H819" i="2" s="1"/>
  <c r="G1441" i="2"/>
  <c r="H1441" i="2" s="1"/>
  <c r="G1470" i="2"/>
  <c r="H1470" i="2" s="1"/>
  <c r="G1256" i="2"/>
  <c r="H1256" i="2" s="1"/>
  <c r="G1355" i="2"/>
  <c r="H1355" i="2" s="1"/>
  <c r="G1371" i="2"/>
  <c r="H1371" i="2" s="1"/>
  <c r="G1460" i="2"/>
  <c r="H1460" i="2" s="1"/>
  <c r="G1427" i="2"/>
  <c r="H1427" i="2" s="1"/>
  <c r="G1324" i="2"/>
  <c r="H1324" i="2" s="1"/>
  <c r="G1307" i="2"/>
  <c r="H1307" i="2" s="1"/>
  <c r="G1248" i="2"/>
  <c r="H1248" i="2" s="1"/>
  <c r="G1340" i="2"/>
  <c r="H1340" i="2" s="1"/>
  <c r="G859" i="2"/>
  <c r="H859" i="2" s="1"/>
  <c r="G820" i="2"/>
  <c r="H820" i="2" s="1"/>
  <c r="H852" i="2"/>
  <c r="AA86" i="1"/>
  <c r="AA84" i="1"/>
  <c r="AA135" i="1"/>
  <c r="AA87" i="1"/>
  <c r="AA77" i="1"/>
  <c r="H824" i="2"/>
  <c r="AA93" i="1"/>
  <c r="AA72" i="1"/>
  <c r="AA79" i="1"/>
  <c r="AA95" i="1"/>
  <c r="AA82" i="1"/>
  <c r="AA85" i="1"/>
  <c r="AA76" i="1"/>
  <c r="AA92" i="1"/>
  <c r="AA89" i="1"/>
  <c r="H839" i="2"/>
  <c r="C804" i="2"/>
  <c r="D804" i="2" s="1"/>
  <c r="C750" i="2"/>
  <c r="D750" i="2" s="1"/>
  <c r="C812" i="2"/>
  <c r="D812" i="2" s="1"/>
  <c r="C767" i="2"/>
  <c r="D767" i="2" s="1"/>
  <c r="C652" i="2"/>
  <c r="D652" i="2" s="1"/>
  <c r="C728" i="2"/>
  <c r="D728" i="2" s="1"/>
  <c r="C743" i="2"/>
  <c r="D743" i="2" s="1"/>
  <c r="C615" i="2"/>
  <c r="D615" i="2" s="1"/>
  <c r="C549" i="2"/>
  <c r="D549" i="2" s="1"/>
  <c r="C635" i="2"/>
  <c r="D635" i="2" s="1"/>
  <c r="C597" i="2"/>
  <c r="D597" i="2" s="1"/>
  <c r="C692" i="2"/>
  <c r="D692" i="2" s="1"/>
  <c r="C721" i="2"/>
  <c r="D721" i="2" s="1"/>
  <c r="C679" i="2"/>
  <c r="D679" i="2" s="1"/>
  <c r="C702" i="2"/>
  <c r="D702" i="2" s="1"/>
  <c r="C645" i="2"/>
  <c r="D645" i="2" s="1"/>
  <c r="C573" i="2"/>
  <c r="D573" i="2" s="1"/>
  <c r="C674" i="2"/>
  <c r="D674" i="2" s="1"/>
  <c r="C631" i="2"/>
  <c r="D631" i="2" s="1"/>
  <c r="C592" i="2"/>
  <c r="D592" i="2" s="1"/>
  <c r="C607" i="2"/>
  <c r="D607" i="2" s="1"/>
  <c r="C630" i="2"/>
  <c r="D630" i="2" s="1"/>
  <c r="C546" i="2"/>
  <c r="D546" i="2" s="1"/>
  <c r="C673" i="2"/>
  <c r="D673" i="2" s="1"/>
  <c r="C591" i="2"/>
  <c r="D591" i="2" s="1"/>
  <c r="C606" i="2"/>
  <c r="D606" i="2" s="1"/>
  <c r="C572" i="2"/>
  <c r="D572" i="2" s="1"/>
  <c r="AA73" i="1"/>
  <c r="AA88" i="1"/>
  <c r="AA98" i="1"/>
  <c r="C627" i="2"/>
  <c r="D627" i="2" s="1"/>
  <c r="C588" i="2"/>
  <c r="D588" i="2" s="1"/>
  <c r="C569" i="2"/>
  <c r="D569" i="2" s="1"/>
  <c r="C662" i="2"/>
  <c r="D662" i="2" s="1"/>
  <c r="C633" i="2"/>
  <c r="D633" i="2" s="1"/>
  <c r="C689" i="2"/>
  <c r="D689" i="2" s="1"/>
  <c r="C609" i="2"/>
  <c r="D609" i="2" s="1"/>
  <c r="O101" i="1"/>
  <c r="AA83" i="1"/>
  <c r="Y101" i="1"/>
  <c r="AA74" i="1"/>
  <c r="C744" i="2"/>
  <c r="D744" i="2" s="1"/>
  <c r="C616" i="2"/>
  <c r="D616" i="2" s="1"/>
  <c r="C598" i="2"/>
  <c r="D598" i="2" s="1"/>
  <c r="C664" i="2"/>
  <c r="D664" i="2" s="1"/>
  <c r="C680" i="2"/>
  <c r="D680" i="2" s="1"/>
  <c r="C722" i="2"/>
  <c r="D722" i="2" s="1"/>
  <c r="C703" i="2"/>
  <c r="D703" i="2" s="1"/>
  <c r="C646" i="2"/>
  <c r="D646" i="2" s="1"/>
  <c r="S101" i="1"/>
  <c r="AA71" i="1"/>
  <c r="AA99" i="1"/>
  <c r="C832" i="2"/>
  <c r="D832" i="2" s="1"/>
  <c r="C784" i="2"/>
  <c r="D784" i="2" s="1"/>
  <c r="C769" i="2"/>
  <c r="D769" i="2" s="1"/>
  <c r="C752" i="2"/>
  <c r="D752" i="2" s="1"/>
  <c r="C814" i="2"/>
  <c r="D814" i="2" s="1"/>
  <c r="C730" i="2"/>
  <c r="D730" i="2" s="1"/>
  <c r="C654" i="2"/>
  <c r="D654" i="2" s="1"/>
  <c r="AA80" i="1"/>
  <c r="AA90" i="1"/>
  <c r="C699" i="2"/>
  <c r="D699" i="2" s="1"/>
  <c r="C718" i="2"/>
  <c r="D718" i="2" s="1"/>
  <c r="C676" i="2"/>
  <c r="D676" i="2" s="1"/>
  <c r="C594" i="2"/>
  <c r="D594" i="2" s="1"/>
  <c r="C612" i="2"/>
  <c r="D612" i="2" s="1"/>
  <c r="G101" i="1"/>
  <c r="C596" i="2"/>
  <c r="D596" i="2" s="1"/>
  <c r="C720" i="2"/>
  <c r="D720" i="2" s="1"/>
  <c r="C644" i="2"/>
  <c r="D644" i="2" s="1"/>
  <c r="C701" i="2"/>
  <c r="D701" i="2" s="1"/>
  <c r="C678" i="2"/>
  <c r="D678" i="2" s="1"/>
  <c r="C614" i="2"/>
  <c r="D614" i="2" s="1"/>
  <c r="C762" i="2"/>
  <c r="D762" i="2" s="1"/>
  <c r="C745" i="2"/>
  <c r="D745" i="2" s="1"/>
  <c r="C617" i="2"/>
  <c r="D617" i="2" s="1"/>
  <c r="C665" i="2"/>
  <c r="D665" i="2" s="1"/>
  <c r="C647" i="2"/>
  <c r="D647" i="2" s="1"/>
  <c r="C723" i="2"/>
  <c r="D723" i="2" s="1"/>
  <c r="C681" i="2"/>
  <c r="D681" i="2" s="1"/>
  <c r="C599" i="2"/>
  <c r="D599" i="2" s="1"/>
  <c r="C704" i="2"/>
  <c r="D704" i="2" s="1"/>
  <c r="AA81" i="1"/>
  <c r="AA96" i="1"/>
  <c r="AA78" i="1"/>
  <c r="AA100" i="1"/>
  <c r="H791" i="2"/>
  <c r="C811" i="2"/>
  <c r="D811" i="2" s="1"/>
  <c r="C782" i="2"/>
  <c r="D782" i="2" s="1"/>
  <c r="C803" i="2"/>
  <c r="D803" i="2" s="1"/>
  <c r="C766" i="2"/>
  <c r="D766" i="2" s="1"/>
  <c r="C749" i="2"/>
  <c r="D749" i="2" s="1"/>
  <c r="C705" i="2"/>
  <c r="D705" i="2" s="1"/>
  <c r="C651" i="2"/>
  <c r="D651" i="2" s="1"/>
  <c r="C683" i="2"/>
  <c r="D683" i="2" s="1"/>
  <c r="C727" i="2"/>
  <c r="D727" i="2" s="1"/>
  <c r="C620" i="2"/>
  <c r="D620" i="2" s="1"/>
  <c r="K101" i="1"/>
  <c r="AA75" i="1"/>
  <c r="AA97" i="1"/>
  <c r="AA94" i="1"/>
  <c r="C756" i="2"/>
  <c r="D756" i="2" s="1"/>
  <c r="H756" i="2" s="1"/>
  <c r="C862" i="2"/>
  <c r="D862" i="2" s="1"/>
  <c r="H862" i="2" s="1"/>
  <c r="C823" i="2"/>
  <c r="D823" i="2" s="1"/>
  <c r="H823" i="2" s="1"/>
  <c r="C734" i="2"/>
  <c r="D734" i="2" s="1"/>
  <c r="H734" i="2" s="1"/>
  <c r="AA91" i="1"/>
  <c r="H863" i="2"/>
  <c r="AA70" i="1"/>
  <c r="H457" i="2"/>
  <c r="H453" i="2"/>
  <c r="H454" i="2"/>
  <c r="D374" i="2"/>
  <c r="H374" i="2" s="1"/>
  <c r="D375" i="2"/>
  <c r="H375" i="2" s="1"/>
  <c r="D376" i="2"/>
  <c r="H376" i="2" s="1"/>
  <c r="D377" i="2"/>
  <c r="H377" i="2" s="1"/>
  <c r="D378" i="2"/>
  <c r="H378" i="2" s="1"/>
  <c r="D373" i="2"/>
  <c r="H373" i="2" s="1"/>
  <c r="C380" i="2"/>
  <c r="D380" i="2" s="1"/>
  <c r="C381" i="2"/>
  <c r="D381" i="2" s="1"/>
  <c r="C382" i="2"/>
  <c r="D382" i="2" s="1"/>
  <c r="C383" i="2"/>
  <c r="D383" i="2" s="1"/>
  <c r="C379" i="2"/>
  <c r="D379" i="2" s="1"/>
  <c r="D353" i="2"/>
  <c r="H353" i="2" s="1"/>
  <c r="D354" i="2"/>
  <c r="H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D368" i="2"/>
  <c r="D369" i="2"/>
  <c r="D352" i="2"/>
  <c r="H35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D345" i="2"/>
  <c r="D346" i="2"/>
  <c r="D347" i="2"/>
  <c r="D322" i="2"/>
  <c r="C316" i="2"/>
  <c r="D316" i="2" s="1"/>
  <c r="C317" i="2"/>
  <c r="D317" i="2" s="1"/>
  <c r="C315" i="2"/>
  <c r="D315" i="2" s="1"/>
  <c r="C306" i="2"/>
  <c r="D306" i="2" s="1"/>
  <c r="C307" i="2"/>
  <c r="D307" i="2" s="1"/>
  <c r="C308" i="2"/>
  <c r="D308" i="2" s="1"/>
  <c r="C309" i="2"/>
  <c r="D309" i="2" s="1"/>
  <c r="C310" i="2"/>
  <c r="D310" i="2" s="1"/>
  <c r="C305" i="2"/>
  <c r="D305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D299" i="2"/>
  <c r="D300" i="2"/>
  <c r="D301" i="2"/>
  <c r="C276" i="2"/>
  <c r="D276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61" i="2"/>
  <c r="D261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42" i="2"/>
  <c r="D242" i="2" s="1"/>
  <c r="C233" i="2"/>
  <c r="D233" i="2" s="1"/>
  <c r="C234" i="2"/>
  <c r="D234" i="2" s="1"/>
  <c r="C235" i="2"/>
  <c r="D235" i="2" s="1"/>
  <c r="C236" i="2"/>
  <c r="D236" i="2" s="1"/>
  <c r="C232" i="2"/>
  <c r="D232" i="2" s="1"/>
  <c r="D226" i="2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12" i="2"/>
  <c r="D212" i="2" s="1"/>
  <c r="G1152" i="2" l="1"/>
  <c r="H1152" i="2" s="1"/>
  <c r="G588" i="2"/>
  <c r="H588" i="2" s="1"/>
  <c r="G569" i="2"/>
  <c r="H569" i="2" s="1"/>
  <c r="G627" i="2"/>
  <c r="H627" i="2" s="1"/>
  <c r="G802" i="2"/>
  <c r="G810" i="2"/>
  <c r="G748" i="2"/>
  <c r="G765" i="2"/>
  <c r="G781" i="2"/>
  <c r="G619" i="2"/>
  <c r="G650" i="2"/>
  <c r="G726" i="2"/>
  <c r="G1315" i="2"/>
  <c r="H1315" i="2" s="1"/>
  <c r="G1349" i="2"/>
  <c r="H1349" i="2" s="1"/>
  <c r="G1300" i="2"/>
  <c r="H1300" i="2" s="1"/>
  <c r="G789" i="2"/>
  <c r="G850" i="2"/>
  <c r="G837" i="2"/>
  <c r="G622" i="2"/>
  <c r="G1155" i="2"/>
  <c r="H1155" i="2" s="1"/>
  <c r="G608" i="2"/>
  <c r="G688" i="2"/>
  <c r="G632" i="2"/>
  <c r="G661" i="2"/>
  <c r="G593" i="2"/>
  <c r="G675" i="2"/>
  <c r="G1161" i="2"/>
  <c r="H1161" i="2" s="1"/>
  <c r="G762" i="2"/>
  <c r="H762" i="2" s="1"/>
  <c r="G745" i="2"/>
  <c r="H745" i="2" s="1"/>
  <c r="G665" i="2"/>
  <c r="H665" i="2" s="1"/>
  <c r="G647" i="2"/>
  <c r="H647" i="2" s="1"/>
  <c r="G681" i="2"/>
  <c r="H681" i="2" s="1"/>
  <c r="G599" i="2"/>
  <c r="H599" i="2" s="1"/>
  <c r="G723" i="2"/>
  <c r="G704" i="2"/>
  <c r="H704" i="2" s="1"/>
  <c r="G617" i="2"/>
  <c r="H617" i="2" s="1"/>
  <c r="G1158" i="2"/>
  <c r="H1158" i="2" s="1"/>
  <c r="G717" i="2"/>
  <c r="G548" i="2"/>
  <c r="G691" i="2"/>
  <c r="G698" i="2"/>
  <c r="G611" i="2"/>
  <c r="G1151" i="2"/>
  <c r="H1151" i="2" s="1"/>
  <c r="G587" i="2"/>
  <c r="G568" i="2"/>
  <c r="AJ135" i="1"/>
  <c r="AD135" i="1"/>
  <c r="G814" i="2"/>
  <c r="H814" i="2" s="1"/>
  <c r="G832" i="2"/>
  <c r="H832" i="2" s="1"/>
  <c r="G752" i="2"/>
  <c r="H752" i="2" s="1"/>
  <c r="G769" i="2"/>
  <c r="H769" i="2" s="1"/>
  <c r="G784" i="2"/>
  <c r="H784" i="2" s="1"/>
  <c r="G654" i="2"/>
  <c r="H654" i="2" s="1"/>
  <c r="G730" i="2"/>
  <c r="H730" i="2" s="1"/>
  <c r="G1153" i="2"/>
  <c r="H1153" i="2" s="1"/>
  <c r="G605" i="2"/>
  <c r="G672" i="2"/>
  <c r="G590" i="2"/>
  <c r="G629" i="2"/>
  <c r="G571" i="2"/>
  <c r="G750" i="2"/>
  <c r="H750" i="2" s="1"/>
  <c r="G804" i="2"/>
  <c r="H804" i="2" s="1"/>
  <c r="G767" i="2"/>
  <c r="H767" i="2" s="1"/>
  <c r="G812" i="2"/>
  <c r="H812" i="2" s="1"/>
  <c r="G652" i="2"/>
  <c r="H652" i="2" s="1"/>
  <c r="G728" i="2"/>
  <c r="G1297" i="2"/>
  <c r="H1297" i="2" s="1"/>
  <c r="G834" i="2"/>
  <c r="G786" i="2"/>
  <c r="G753" i="2"/>
  <c r="G771" i="2"/>
  <c r="G847" i="2"/>
  <c r="G731" i="2"/>
  <c r="H674" i="2"/>
  <c r="G720" i="2"/>
  <c r="H720" i="2" s="1"/>
  <c r="G701" i="2"/>
  <c r="H701" i="2" s="1"/>
  <c r="G644" i="2"/>
  <c r="H644" i="2" s="1"/>
  <c r="G596" i="2"/>
  <c r="H596" i="2" s="1"/>
  <c r="G614" i="2"/>
  <c r="H614" i="2" s="1"/>
  <c r="G678" i="2"/>
  <c r="H678" i="2" s="1"/>
  <c r="G718" i="2"/>
  <c r="G594" i="2"/>
  <c r="H594" i="2" s="1"/>
  <c r="G699" i="2"/>
  <c r="H699" i="2" s="1"/>
  <c r="G612" i="2"/>
  <c r="H612" i="2" s="1"/>
  <c r="G676" i="2"/>
  <c r="H676" i="2" s="1"/>
  <c r="G1156" i="2"/>
  <c r="H1156" i="2" s="1"/>
  <c r="G662" i="2"/>
  <c r="H662" i="2" s="1"/>
  <c r="G609" i="2"/>
  <c r="H609" i="2" s="1"/>
  <c r="G689" i="2"/>
  <c r="G633" i="2"/>
  <c r="H633" i="2" s="1"/>
  <c r="G1159" i="2"/>
  <c r="H1159" i="2" s="1"/>
  <c r="G634" i="2"/>
  <c r="G719" i="2"/>
  <c r="G595" i="2"/>
  <c r="G700" i="2"/>
  <c r="G643" i="2"/>
  <c r="G613" i="2"/>
  <c r="G677" i="2"/>
  <c r="G1299" i="2"/>
  <c r="H1299" i="2" s="1"/>
  <c r="G815" i="2"/>
  <c r="G788" i="2"/>
  <c r="G849" i="2"/>
  <c r="G836" i="2"/>
  <c r="G733" i="2"/>
  <c r="G1160" i="2"/>
  <c r="H1160" i="2" s="1"/>
  <c r="G744" i="2"/>
  <c r="H744" i="2" s="1"/>
  <c r="G664" i="2"/>
  <c r="H664" i="2" s="1"/>
  <c r="G722" i="2"/>
  <c r="H722" i="2" s="1"/>
  <c r="G703" i="2"/>
  <c r="H703" i="2" s="1"/>
  <c r="G680" i="2"/>
  <c r="H680" i="2" s="1"/>
  <c r="G598" i="2"/>
  <c r="H598" i="2" s="1"/>
  <c r="G646" i="2"/>
  <c r="H646" i="2" s="1"/>
  <c r="G616" i="2"/>
  <c r="H616" i="2" s="1"/>
  <c r="G831" i="2"/>
  <c r="G751" i="2"/>
  <c r="G768" i="2"/>
  <c r="G813" i="2"/>
  <c r="G783" i="2"/>
  <c r="G653" i="2"/>
  <c r="G729" i="2"/>
  <c r="G636" i="2"/>
  <c r="H689" i="2"/>
  <c r="G1298" i="2"/>
  <c r="H1298" i="2" s="1"/>
  <c r="G1164" i="2"/>
  <c r="H1164" i="2" s="1"/>
  <c r="G772" i="2"/>
  <c r="G787" i="2"/>
  <c r="G848" i="2"/>
  <c r="G754" i="2"/>
  <c r="G835" i="2"/>
  <c r="G621" i="2"/>
  <c r="G655" i="2"/>
  <c r="G732" i="2"/>
  <c r="G803" i="2"/>
  <c r="H803" i="2" s="1"/>
  <c r="G811" i="2"/>
  <c r="H811" i="2" s="1"/>
  <c r="G749" i="2"/>
  <c r="H749" i="2" s="1"/>
  <c r="G766" i="2"/>
  <c r="H766" i="2" s="1"/>
  <c r="G782" i="2"/>
  <c r="H782" i="2" s="1"/>
  <c r="G651" i="2"/>
  <c r="H651" i="2" s="1"/>
  <c r="G620" i="2"/>
  <c r="H620" i="2" s="1"/>
  <c r="G727" i="2"/>
  <c r="H727" i="2" s="1"/>
  <c r="G683" i="2"/>
  <c r="H683" i="2" s="1"/>
  <c r="G705" i="2"/>
  <c r="H705" i="2" s="1"/>
  <c r="G1332" i="2"/>
  <c r="H1332" i="2" s="1"/>
  <c r="G1314" i="2"/>
  <c r="H1314" i="2" s="1"/>
  <c r="G1154" i="2"/>
  <c r="H1154" i="2" s="1"/>
  <c r="G607" i="2"/>
  <c r="H607" i="2" s="1"/>
  <c r="G674" i="2"/>
  <c r="G592" i="2"/>
  <c r="H592" i="2" s="1"/>
  <c r="G631" i="2"/>
  <c r="H631" i="2" s="1"/>
  <c r="G573" i="2"/>
  <c r="H573" i="2" s="1"/>
  <c r="H723" i="2"/>
  <c r="G1163" i="2"/>
  <c r="H1163" i="2" s="1"/>
  <c r="G780" i="2"/>
  <c r="G801" i="2"/>
  <c r="G747" i="2"/>
  <c r="G764" i="2"/>
  <c r="G600" i="2"/>
  <c r="G649" i="2"/>
  <c r="G618" i="2"/>
  <c r="G725" i="2"/>
  <c r="G1162" i="2"/>
  <c r="H1162" i="2" s="1"/>
  <c r="G779" i="2"/>
  <c r="G746" i="2"/>
  <c r="G763" i="2"/>
  <c r="G648" i="2"/>
  <c r="G724" i="2"/>
  <c r="G682" i="2"/>
  <c r="G574" i="2"/>
  <c r="G546" i="2"/>
  <c r="H546" i="2" s="1"/>
  <c r="G572" i="2"/>
  <c r="H572" i="2" s="1"/>
  <c r="G606" i="2"/>
  <c r="H606" i="2" s="1"/>
  <c r="G673" i="2"/>
  <c r="H673" i="2" s="1"/>
  <c r="G630" i="2"/>
  <c r="H630" i="2" s="1"/>
  <c r="G591" i="2"/>
  <c r="H591" i="2" s="1"/>
  <c r="H728" i="2"/>
  <c r="G785" i="2"/>
  <c r="G770" i="2"/>
  <c r="G833" i="2"/>
  <c r="H718" i="2"/>
  <c r="G1150" i="2"/>
  <c r="H1150" i="2" s="1"/>
  <c r="G567" i="2"/>
  <c r="G586" i="2"/>
  <c r="G641" i="2"/>
  <c r="G1157" i="2"/>
  <c r="H1157" i="2" s="1"/>
  <c r="G690" i="2"/>
  <c r="G663" i="2"/>
  <c r="G547" i="2"/>
  <c r="G610" i="2"/>
  <c r="G697" i="2"/>
  <c r="G642" i="2"/>
  <c r="G671" i="2"/>
  <c r="G604" i="2"/>
  <c r="G570" i="2"/>
  <c r="G589" i="2"/>
  <c r="G628" i="2"/>
  <c r="G743" i="2"/>
  <c r="H743" i="2" s="1"/>
  <c r="G692" i="2"/>
  <c r="H692" i="2" s="1"/>
  <c r="G721" i="2"/>
  <c r="H721" i="2" s="1"/>
  <c r="G615" i="2"/>
  <c r="H615" i="2" s="1"/>
  <c r="G549" i="2"/>
  <c r="H549" i="2" s="1"/>
  <c r="G702" i="2"/>
  <c r="H702" i="2" s="1"/>
  <c r="G679" i="2"/>
  <c r="H679" i="2" s="1"/>
  <c r="G635" i="2"/>
  <c r="H635" i="2" s="1"/>
  <c r="G645" i="2"/>
  <c r="H645" i="2" s="1"/>
  <c r="G597" i="2"/>
  <c r="H597" i="2" s="1"/>
  <c r="C783" i="2"/>
  <c r="D783" i="2" s="1"/>
  <c r="C813" i="2"/>
  <c r="D813" i="2" s="1"/>
  <c r="C831" i="2"/>
  <c r="D831" i="2" s="1"/>
  <c r="C768" i="2"/>
  <c r="D768" i="2" s="1"/>
  <c r="C751" i="2"/>
  <c r="D751" i="2" s="1"/>
  <c r="C653" i="2"/>
  <c r="D653" i="2" s="1"/>
  <c r="C729" i="2"/>
  <c r="D729" i="2" s="1"/>
  <c r="C636" i="2"/>
  <c r="D636" i="2" s="1"/>
  <c r="C850" i="2"/>
  <c r="D850" i="2" s="1"/>
  <c r="H850" i="2" s="1"/>
  <c r="C837" i="2"/>
  <c r="D837" i="2" s="1"/>
  <c r="C789" i="2"/>
  <c r="D789" i="2" s="1"/>
  <c r="C622" i="2"/>
  <c r="D622" i="2" s="1"/>
  <c r="C848" i="2"/>
  <c r="D848" i="2" s="1"/>
  <c r="C835" i="2"/>
  <c r="D835" i="2" s="1"/>
  <c r="C772" i="2"/>
  <c r="D772" i="2" s="1"/>
  <c r="C754" i="2"/>
  <c r="D754" i="2" s="1"/>
  <c r="C787" i="2"/>
  <c r="D787" i="2" s="1"/>
  <c r="C732" i="2"/>
  <c r="D732" i="2" s="1"/>
  <c r="C655" i="2"/>
  <c r="D655" i="2" s="1"/>
  <c r="C621" i="2"/>
  <c r="D621" i="2" s="1"/>
  <c r="C628" i="2"/>
  <c r="D628" i="2" s="1"/>
  <c r="C589" i="2"/>
  <c r="D589" i="2" s="1"/>
  <c r="C604" i="2"/>
  <c r="D604" i="2" s="1"/>
  <c r="C570" i="2"/>
  <c r="D570" i="2" s="1"/>
  <c r="H570" i="2" s="1"/>
  <c r="C671" i="2"/>
  <c r="D671" i="2" s="1"/>
  <c r="C698" i="2"/>
  <c r="D698" i="2" s="1"/>
  <c r="C717" i="2"/>
  <c r="D717" i="2" s="1"/>
  <c r="C548" i="2"/>
  <c r="D548" i="2" s="1"/>
  <c r="C611" i="2"/>
  <c r="D611" i="2" s="1"/>
  <c r="C691" i="2"/>
  <c r="D691" i="2" s="1"/>
  <c r="C753" i="2"/>
  <c r="D753" i="2" s="1"/>
  <c r="C847" i="2"/>
  <c r="D847" i="2" s="1"/>
  <c r="C786" i="2"/>
  <c r="D786" i="2" s="1"/>
  <c r="C834" i="2"/>
  <c r="D834" i="2" s="1"/>
  <c r="C771" i="2"/>
  <c r="D771" i="2" s="1"/>
  <c r="C731" i="2"/>
  <c r="D731" i="2" s="1"/>
  <c r="C672" i="2"/>
  <c r="D672" i="2" s="1"/>
  <c r="C605" i="2"/>
  <c r="D605" i="2" s="1"/>
  <c r="C590" i="2"/>
  <c r="D590" i="2" s="1"/>
  <c r="C571" i="2"/>
  <c r="D571" i="2" s="1"/>
  <c r="C629" i="2"/>
  <c r="D629" i="2" s="1"/>
  <c r="C643" i="2"/>
  <c r="D643" i="2" s="1"/>
  <c r="C677" i="2"/>
  <c r="D677" i="2" s="1"/>
  <c r="C719" i="2"/>
  <c r="D719" i="2" s="1"/>
  <c r="C700" i="2"/>
  <c r="D700" i="2" s="1"/>
  <c r="C595" i="2"/>
  <c r="D595" i="2" s="1"/>
  <c r="C634" i="2"/>
  <c r="D634" i="2" s="1"/>
  <c r="C613" i="2"/>
  <c r="D613" i="2" s="1"/>
  <c r="C785" i="2"/>
  <c r="D785" i="2" s="1"/>
  <c r="C833" i="2"/>
  <c r="D833" i="2" s="1"/>
  <c r="C770" i="2"/>
  <c r="D770" i="2" s="1"/>
  <c r="C849" i="2"/>
  <c r="D849" i="2" s="1"/>
  <c r="C836" i="2"/>
  <c r="D836" i="2" s="1"/>
  <c r="C815" i="2"/>
  <c r="D815" i="2" s="1"/>
  <c r="C788" i="2"/>
  <c r="D788" i="2" s="1"/>
  <c r="C733" i="2"/>
  <c r="D733" i="2" s="1"/>
  <c r="AA101" i="1"/>
  <c r="C567" i="2"/>
  <c r="D567" i="2" s="1"/>
  <c r="C641" i="2"/>
  <c r="D641" i="2" s="1"/>
  <c r="D586" i="2"/>
  <c r="C587" i="2"/>
  <c r="D587" i="2" s="1"/>
  <c r="C568" i="2"/>
  <c r="D568" i="2" s="1"/>
  <c r="C663" i="2"/>
  <c r="D663" i="2" s="1"/>
  <c r="C642" i="2"/>
  <c r="D642" i="2" s="1"/>
  <c r="C690" i="2"/>
  <c r="D690" i="2" s="1"/>
  <c r="C697" i="2"/>
  <c r="D697" i="2" s="1"/>
  <c r="C610" i="2"/>
  <c r="D610" i="2" s="1"/>
  <c r="C547" i="2"/>
  <c r="D547" i="2" s="1"/>
  <c r="C688" i="2"/>
  <c r="D688" i="2" s="1"/>
  <c r="C632" i="2"/>
  <c r="D632" i="2" s="1"/>
  <c r="C675" i="2"/>
  <c r="D675" i="2" s="1"/>
  <c r="C661" i="2"/>
  <c r="D661" i="2" s="1"/>
  <c r="C593" i="2"/>
  <c r="D593" i="2" s="1"/>
  <c r="C608" i="2"/>
  <c r="D608" i="2" s="1"/>
  <c r="C779" i="2"/>
  <c r="D779" i="2" s="1"/>
  <c r="C763" i="2"/>
  <c r="D763" i="2" s="1"/>
  <c r="C746" i="2"/>
  <c r="D746" i="2" s="1"/>
  <c r="C574" i="2"/>
  <c r="D574" i="2" s="1"/>
  <c r="C648" i="2"/>
  <c r="D648" i="2" s="1"/>
  <c r="C682" i="2"/>
  <c r="D682" i="2" s="1"/>
  <c r="C724" i="2"/>
  <c r="D724" i="2" s="1"/>
  <c r="C802" i="2"/>
  <c r="D802" i="2" s="1"/>
  <c r="C781" i="2"/>
  <c r="D781" i="2" s="1"/>
  <c r="C765" i="2"/>
  <c r="D765" i="2" s="1"/>
  <c r="C748" i="2"/>
  <c r="D748" i="2" s="1"/>
  <c r="C810" i="2"/>
  <c r="D810" i="2" s="1"/>
  <c r="C619" i="2"/>
  <c r="D619" i="2" s="1"/>
  <c r="C726" i="2"/>
  <c r="D726" i="2" s="1"/>
  <c r="C650" i="2"/>
  <c r="D650" i="2" s="1"/>
  <c r="C764" i="2"/>
  <c r="D764" i="2" s="1"/>
  <c r="C780" i="2"/>
  <c r="D780" i="2" s="1"/>
  <c r="C801" i="2"/>
  <c r="D801" i="2" s="1"/>
  <c r="C747" i="2"/>
  <c r="D747" i="2" s="1"/>
  <c r="C725" i="2"/>
  <c r="D725" i="2" s="1"/>
  <c r="C649" i="2"/>
  <c r="D649" i="2" s="1"/>
  <c r="C618" i="2"/>
  <c r="D618" i="2" s="1"/>
  <c r="C600" i="2"/>
  <c r="D600" i="2" s="1"/>
  <c r="G201" i="2"/>
  <c r="D206" i="2"/>
  <c r="H206" i="2" s="1"/>
  <c r="C201" i="2"/>
  <c r="D201" i="2" s="1"/>
  <c r="C202" i="2"/>
  <c r="D202" i="2" s="1"/>
  <c r="H202" i="2" s="1"/>
  <c r="C203" i="2"/>
  <c r="D203" i="2" s="1"/>
  <c r="H203" i="2" s="1"/>
  <c r="C204" i="2"/>
  <c r="D204" i="2" s="1"/>
  <c r="H204" i="2" s="1"/>
  <c r="C205" i="2"/>
  <c r="D205" i="2" s="1"/>
  <c r="H205" i="2" s="1"/>
  <c r="C200" i="2"/>
  <c r="D200" i="2" s="1"/>
  <c r="H200" i="2" s="1"/>
  <c r="H785" i="2" l="1"/>
  <c r="H604" i="2"/>
  <c r="H589" i="2"/>
  <c r="H621" i="2"/>
  <c r="H770" i="2"/>
  <c r="H810" i="2"/>
  <c r="H663" i="2"/>
  <c r="H733" i="2"/>
  <c r="H729" i="2"/>
  <c r="H571" i="2"/>
  <c r="H653" i="2"/>
  <c r="H547" i="2"/>
  <c r="H636" i="2"/>
  <c r="H675" i="2"/>
  <c r="H632" i="2"/>
  <c r="H610" i="2"/>
  <c r="H697" i="2"/>
  <c r="H833" i="2"/>
  <c r="H732" i="2"/>
  <c r="H619" i="2"/>
  <c r="H605" i="2"/>
  <c r="H655" i="2"/>
  <c r="H690" i="2"/>
  <c r="H724" i="2"/>
  <c r="H783" i="2"/>
  <c r="H813" i="2"/>
  <c r="H634" i="2"/>
  <c r="H650" i="2"/>
  <c r="H593" i="2"/>
  <c r="H629" i="2"/>
  <c r="H671" i="2"/>
  <c r="H726" i="2"/>
  <c r="H661" i="2"/>
  <c r="H834" i="2"/>
  <c r="H786" i="2"/>
  <c r="H836" i="2"/>
  <c r="H754" i="2"/>
  <c r="H628" i="2"/>
  <c r="H771" i="2"/>
  <c r="H682" i="2"/>
  <c r="H648" i="2"/>
  <c r="H753" i="2"/>
  <c r="H587" i="2"/>
  <c r="H700" i="2"/>
  <c r="H611" i="2"/>
  <c r="H672" i="2"/>
  <c r="H731" i="2"/>
  <c r="H835" i="2"/>
  <c r="H801" i="2"/>
  <c r="H719" i="2"/>
  <c r="H548" i="2"/>
  <c r="H590" i="2"/>
  <c r="H691" i="2"/>
  <c r="H746" i="2"/>
  <c r="H763" i="2"/>
  <c r="H717" i="2"/>
  <c r="AJ101" i="1"/>
  <c r="AD101" i="1"/>
  <c r="H815" i="2"/>
  <c r="H781" i="2"/>
  <c r="H748" i="2"/>
  <c r="H787" i="2"/>
  <c r="H618" i="2"/>
  <c r="H642" i="2"/>
  <c r="H613" i="2"/>
  <c r="H847" i="2"/>
  <c r="H600" i="2"/>
  <c r="H725" i="2"/>
  <c r="H574" i="2"/>
  <c r="H568" i="2"/>
  <c r="H595" i="2"/>
  <c r="H849" i="2"/>
  <c r="H831" i="2"/>
  <c r="H802" i="2"/>
  <c r="H788" i="2"/>
  <c r="H688" i="2"/>
  <c r="H765" i="2"/>
  <c r="H649" i="2"/>
  <c r="H772" i="2"/>
  <c r="H848" i="2"/>
  <c r="H780" i="2"/>
  <c r="H779" i="2"/>
  <c r="H641" i="2"/>
  <c r="H677" i="2"/>
  <c r="H789" i="2"/>
  <c r="H751" i="2"/>
  <c r="H768" i="2"/>
  <c r="H747" i="2"/>
  <c r="H586" i="2"/>
  <c r="H622" i="2"/>
  <c r="H764" i="2"/>
  <c r="H608" i="2"/>
  <c r="H567" i="2"/>
  <c r="H643" i="2"/>
  <c r="H698" i="2"/>
  <c r="H837" i="2"/>
  <c r="H201" i="2"/>
  <c r="P38" i="1" l="1"/>
  <c r="Q38" i="1" s="1"/>
  <c r="S38" i="1" s="1"/>
  <c r="P39" i="1"/>
  <c r="Q39" i="1" s="1"/>
  <c r="S39" i="1" s="1"/>
  <c r="P40" i="1"/>
  <c r="Q40" i="1" s="1"/>
  <c r="S40" i="1" s="1"/>
  <c r="P41" i="1"/>
  <c r="Q41" i="1" s="1"/>
  <c r="S41" i="1" s="1"/>
  <c r="P42" i="1"/>
  <c r="Q42" i="1" s="1"/>
  <c r="S42" i="1" s="1"/>
  <c r="P43" i="1"/>
  <c r="Q43" i="1" s="1"/>
  <c r="S43" i="1" s="1"/>
  <c r="P44" i="1"/>
  <c r="Q44" i="1" s="1"/>
  <c r="S44" i="1" s="1"/>
  <c r="P45" i="1"/>
  <c r="Q45" i="1" s="1"/>
  <c r="S45" i="1" s="1"/>
  <c r="P46" i="1"/>
  <c r="Q46" i="1" s="1"/>
  <c r="S46" i="1" s="1"/>
  <c r="P47" i="1"/>
  <c r="Q47" i="1" s="1"/>
  <c r="S47" i="1" s="1"/>
  <c r="P48" i="1"/>
  <c r="Q48" i="1" s="1"/>
  <c r="S48" i="1" s="1"/>
  <c r="P49" i="1"/>
  <c r="Q49" i="1" s="1"/>
  <c r="S49" i="1" s="1"/>
  <c r="P50" i="1"/>
  <c r="Q50" i="1" s="1"/>
  <c r="S50" i="1" s="1"/>
  <c r="P51" i="1"/>
  <c r="Q51" i="1" s="1"/>
  <c r="S51" i="1" s="1"/>
  <c r="P52" i="1"/>
  <c r="Q52" i="1" s="1"/>
  <c r="S52" i="1" s="1"/>
  <c r="P53" i="1"/>
  <c r="Q53" i="1" s="1"/>
  <c r="S53" i="1" s="1"/>
  <c r="P54" i="1"/>
  <c r="Q54" i="1" s="1"/>
  <c r="S54" i="1" s="1"/>
  <c r="P55" i="1"/>
  <c r="Q55" i="1" s="1"/>
  <c r="S55" i="1" s="1"/>
  <c r="P56" i="1"/>
  <c r="Q56" i="1" s="1"/>
  <c r="S56" i="1" s="1"/>
  <c r="P57" i="1"/>
  <c r="Q57" i="1" s="1"/>
  <c r="S57" i="1" s="1"/>
  <c r="P58" i="1"/>
  <c r="Q58" i="1" s="1"/>
  <c r="S58" i="1" s="1"/>
  <c r="P59" i="1"/>
  <c r="Q59" i="1" s="1"/>
  <c r="S59" i="1" s="1"/>
  <c r="P60" i="1"/>
  <c r="Q60" i="1" s="1"/>
  <c r="S60" i="1" s="1"/>
  <c r="P61" i="1"/>
  <c r="Q61" i="1" s="1"/>
  <c r="S61" i="1" s="1"/>
  <c r="P62" i="1"/>
  <c r="Q62" i="1" s="1"/>
  <c r="S62" i="1" s="1"/>
  <c r="P63" i="1"/>
  <c r="Q63" i="1" s="1"/>
  <c r="S63" i="1" s="1"/>
  <c r="P64" i="1"/>
  <c r="Q64" i="1" s="1"/>
  <c r="S64" i="1" s="1"/>
  <c r="P65" i="1"/>
  <c r="Q65" i="1" s="1"/>
  <c r="S65" i="1" s="1"/>
  <c r="P66" i="1"/>
  <c r="Q66" i="1" s="1"/>
  <c r="S66" i="1" s="1"/>
  <c r="P37" i="1"/>
  <c r="Q37" i="1" s="1"/>
  <c r="S37" i="1" s="1"/>
  <c r="I38" i="1"/>
  <c r="J38" i="1" s="1"/>
  <c r="L38" i="1" s="1"/>
  <c r="I39" i="1"/>
  <c r="J39" i="1" s="1"/>
  <c r="L39" i="1" s="1"/>
  <c r="I40" i="1"/>
  <c r="J40" i="1" s="1"/>
  <c r="L40" i="1" s="1"/>
  <c r="I41" i="1"/>
  <c r="J41" i="1" s="1"/>
  <c r="L41" i="1" s="1"/>
  <c r="I42" i="1"/>
  <c r="J42" i="1" s="1"/>
  <c r="L42" i="1" s="1"/>
  <c r="I43" i="1"/>
  <c r="J43" i="1" s="1"/>
  <c r="L43" i="1" s="1"/>
  <c r="I44" i="1"/>
  <c r="J44" i="1" s="1"/>
  <c r="L44" i="1" s="1"/>
  <c r="I45" i="1"/>
  <c r="J45" i="1" s="1"/>
  <c r="L45" i="1" s="1"/>
  <c r="I46" i="1"/>
  <c r="J46" i="1" s="1"/>
  <c r="L46" i="1" s="1"/>
  <c r="I47" i="1"/>
  <c r="J47" i="1" s="1"/>
  <c r="L47" i="1" s="1"/>
  <c r="I48" i="1"/>
  <c r="J48" i="1" s="1"/>
  <c r="L48" i="1" s="1"/>
  <c r="I49" i="1"/>
  <c r="J49" i="1" s="1"/>
  <c r="L49" i="1" s="1"/>
  <c r="I50" i="1"/>
  <c r="J50" i="1" s="1"/>
  <c r="L50" i="1" s="1"/>
  <c r="I51" i="1"/>
  <c r="J51" i="1" s="1"/>
  <c r="L51" i="1" s="1"/>
  <c r="I52" i="1"/>
  <c r="J52" i="1" s="1"/>
  <c r="L52" i="1" s="1"/>
  <c r="I53" i="1"/>
  <c r="J53" i="1" s="1"/>
  <c r="L53" i="1" s="1"/>
  <c r="I54" i="1"/>
  <c r="J54" i="1" s="1"/>
  <c r="L54" i="1" s="1"/>
  <c r="G555" i="2" s="1"/>
  <c r="H555" i="2" s="1"/>
  <c r="I55" i="1"/>
  <c r="J55" i="1" s="1"/>
  <c r="L55" i="1" s="1"/>
  <c r="G556" i="2" s="1"/>
  <c r="H556" i="2" s="1"/>
  <c r="I56" i="1"/>
  <c r="J56" i="1" s="1"/>
  <c r="L56" i="1" s="1"/>
  <c r="G557" i="2" s="1"/>
  <c r="H557" i="2" s="1"/>
  <c r="I57" i="1"/>
  <c r="J57" i="1" s="1"/>
  <c r="L57" i="1" s="1"/>
  <c r="G558" i="2" s="1"/>
  <c r="H558" i="2" s="1"/>
  <c r="I58" i="1"/>
  <c r="J58" i="1" s="1"/>
  <c r="L58" i="1" s="1"/>
  <c r="I59" i="1"/>
  <c r="J59" i="1" s="1"/>
  <c r="L59" i="1" s="1"/>
  <c r="G559" i="2" s="1"/>
  <c r="H559" i="2" s="1"/>
  <c r="I60" i="1"/>
  <c r="J60" i="1" s="1"/>
  <c r="L60" i="1" s="1"/>
  <c r="I61" i="1"/>
  <c r="J61" i="1" s="1"/>
  <c r="L61" i="1" s="1"/>
  <c r="I62" i="1"/>
  <c r="J62" i="1" s="1"/>
  <c r="L62" i="1" s="1"/>
  <c r="I63" i="1"/>
  <c r="J63" i="1" s="1"/>
  <c r="L63" i="1" s="1"/>
  <c r="I64" i="1"/>
  <c r="J64" i="1" s="1"/>
  <c r="L64" i="1" s="1"/>
  <c r="I65" i="1"/>
  <c r="J65" i="1" s="1"/>
  <c r="L65" i="1" s="1"/>
  <c r="I66" i="1"/>
  <c r="J66" i="1" s="1"/>
  <c r="L66" i="1" s="1"/>
  <c r="I37" i="1"/>
  <c r="J37" i="1" s="1"/>
  <c r="L37" i="1" s="1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T64" i="2"/>
  <c r="H25" i="2"/>
  <c r="G25" i="2"/>
  <c r="F25" i="2"/>
  <c r="E25" i="2"/>
  <c r="G585" i="2" l="1"/>
  <c r="H585" i="2" s="1"/>
  <c r="G566" i="2"/>
  <c r="H566" i="2" s="1"/>
  <c r="G565" i="2"/>
  <c r="H565" i="2" s="1"/>
  <c r="G584" i="2"/>
  <c r="H584" i="2" s="1"/>
  <c r="G583" i="2"/>
  <c r="H583" i="2" s="1"/>
  <c r="G564" i="2"/>
  <c r="H564" i="2" s="1"/>
  <c r="G582" i="2"/>
  <c r="H582" i="2" s="1"/>
  <c r="G563" i="2"/>
  <c r="H563" i="2" s="1"/>
  <c r="G562" i="2"/>
  <c r="H562" i="2" s="1"/>
  <c r="G581" i="2"/>
  <c r="H581" i="2" s="1"/>
  <c r="G561" i="2"/>
  <c r="H561" i="2" s="1"/>
  <c r="G580" i="2"/>
  <c r="H580" i="2" s="1"/>
  <c r="G560" i="2"/>
  <c r="H560" i="2" s="1"/>
  <c r="G579" i="2"/>
  <c r="H579" i="2" s="1"/>
  <c r="V49" i="1"/>
  <c r="V59" i="1"/>
  <c r="G1142" i="2" s="1"/>
  <c r="H1142" i="2" s="1"/>
  <c r="V47" i="1"/>
  <c r="V43" i="1"/>
  <c r="V54" i="1"/>
  <c r="G1138" i="2" s="1"/>
  <c r="H1138" i="2" s="1"/>
  <c r="V61" i="1"/>
  <c r="V52" i="1"/>
  <c r="G1136" i="2" s="1"/>
  <c r="H1136" i="2" s="1"/>
  <c r="V37" i="1"/>
  <c r="V51" i="1"/>
  <c r="G1135" i="2" s="1"/>
  <c r="H1135" i="2" s="1"/>
  <c r="V56" i="1"/>
  <c r="G1140" i="2" s="1"/>
  <c r="H1140" i="2" s="1"/>
  <c r="V44" i="1"/>
  <c r="V39" i="1"/>
  <c r="V62" i="1"/>
  <c r="V60" i="1"/>
  <c r="G1143" i="2" s="1"/>
  <c r="H1143" i="2" s="1"/>
  <c r="V55" i="1"/>
  <c r="G1139" i="2" s="1"/>
  <c r="H1139" i="2" s="1"/>
  <c r="V38" i="1"/>
  <c r="V50" i="1"/>
  <c r="V41" i="1"/>
  <c r="V64" i="1"/>
  <c r="G1147" i="2" s="1"/>
  <c r="H1147" i="2" s="1"/>
  <c r="V48" i="1"/>
  <c r="V53" i="1"/>
  <c r="G1137" i="2" s="1"/>
  <c r="H1137" i="2" s="1"/>
  <c r="V46" i="1"/>
  <c r="V45" i="1"/>
  <c r="V66" i="1"/>
  <c r="G1149" i="2" s="1"/>
  <c r="H1149" i="2" s="1"/>
  <c r="V63" i="1"/>
  <c r="G1146" i="2" s="1"/>
  <c r="H1146" i="2" s="1"/>
  <c r="V40" i="1"/>
  <c r="V58" i="1"/>
  <c r="V65" i="1"/>
  <c r="G1148" i="2" s="1"/>
  <c r="H1148" i="2" s="1"/>
  <c r="V57" i="1"/>
  <c r="G1141" i="2" s="1"/>
  <c r="H1141" i="2" s="1"/>
  <c r="V42" i="1"/>
  <c r="P36" i="1"/>
  <c r="H36" i="1"/>
  <c r="P5" i="1"/>
  <c r="Q5" i="1" s="1"/>
  <c r="S5" i="1" s="1"/>
  <c r="P6" i="1"/>
  <c r="Q6" i="1" s="1"/>
  <c r="S6" i="1" s="1"/>
  <c r="P7" i="1"/>
  <c r="Q7" i="1" s="1"/>
  <c r="S7" i="1" s="1"/>
  <c r="P8" i="1"/>
  <c r="Q8" i="1" s="1"/>
  <c r="S8" i="1" s="1"/>
  <c r="P9" i="1"/>
  <c r="Q9" i="1" s="1"/>
  <c r="S9" i="1" s="1"/>
  <c r="P10" i="1"/>
  <c r="Q10" i="1" s="1"/>
  <c r="S10" i="1" s="1"/>
  <c r="P11" i="1"/>
  <c r="Q11" i="1" s="1"/>
  <c r="S11" i="1" s="1"/>
  <c r="P12" i="1"/>
  <c r="Q12" i="1" s="1"/>
  <c r="S12" i="1" s="1"/>
  <c r="P13" i="1"/>
  <c r="Q13" i="1" s="1"/>
  <c r="S13" i="1" s="1"/>
  <c r="P14" i="1"/>
  <c r="Q14" i="1" s="1"/>
  <c r="S14" i="1" s="1"/>
  <c r="P15" i="1"/>
  <c r="Q15" i="1" s="1"/>
  <c r="S15" i="1" s="1"/>
  <c r="P16" i="1"/>
  <c r="Q16" i="1" s="1"/>
  <c r="S16" i="1" s="1"/>
  <c r="P17" i="1"/>
  <c r="Q17" i="1" s="1"/>
  <c r="S17" i="1" s="1"/>
  <c r="P18" i="1"/>
  <c r="Q18" i="1" s="1"/>
  <c r="S18" i="1" s="1"/>
  <c r="P19" i="1"/>
  <c r="Q19" i="1" s="1"/>
  <c r="S19" i="1" s="1"/>
  <c r="P20" i="1"/>
  <c r="Q20" i="1" s="1"/>
  <c r="S20" i="1" s="1"/>
  <c r="P21" i="1"/>
  <c r="Q21" i="1" s="1"/>
  <c r="S21" i="1" s="1"/>
  <c r="P22" i="1"/>
  <c r="Q22" i="1" s="1"/>
  <c r="S22" i="1" s="1"/>
  <c r="P23" i="1"/>
  <c r="Q23" i="1" s="1"/>
  <c r="S23" i="1" s="1"/>
  <c r="P24" i="1"/>
  <c r="Q24" i="1" s="1"/>
  <c r="S24" i="1" s="1"/>
  <c r="P25" i="1"/>
  <c r="Q25" i="1" s="1"/>
  <c r="S25" i="1" s="1"/>
  <c r="P26" i="1"/>
  <c r="Q26" i="1" s="1"/>
  <c r="S26" i="1" s="1"/>
  <c r="P27" i="1"/>
  <c r="Q27" i="1" s="1"/>
  <c r="S27" i="1" s="1"/>
  <c r="P28" i="1"/>
  <c r="Q28" i="1" s="1"/>
  <c r="S28" i="1" s="1"/>
  <c r="P29" i="1"/>
  <c r="Q29" i="1" s="1"/>
  <c r="S29" i="1" s="1"/>
  <c r="P30" i="1"/>
  <c r="Q30" i="1" s="1"/>
  <c r="S30" i="1" s="1"/>
  <c r="P31" i="1"/>
  <c r="Q31" i="1" s="1"/>
  <c r="S31" i="1" s="1"/>
  <c r="P32" i="1"/>
  <c r="Q32" i="1" s="1"/>
  <c r="S32" i="1" s="1"/>
  <c r="P33" i="1"/>
  <c r="Q33" i="1" s="1"/>
  <c r="S33" i="1" s="1"/>
  <c r="P34" i="1"/>
  <c r="Q34" i="1" s="1"/>
  <c r="S34" i="1" s="1"/>
  <c r="P4" i="1"/>
  <c r="Q4" i="1" s="1"/>
  <c r="S4" i="1" s="1"/>
  <c r="Q1" i="1"/>
  <c r="G446" i="2" l="1"/>
  <c r="H446" i="2" s="1"/>
  <c r="G1144" i="2"/>
  <c r="H1144" i="2" s="1"/>
  <c r="G447" i="2"/>
  <c r="H447" i="2" s="1"/>
  <c r="G1145" i="2"/>
  <c r="H1145" i="2" s="1"/>
  <c r="V67" i="1"/>
  <c r="Y67" i="1" s="1"/>
  <c r="G426" i="2"/>
  <c r="H426" i="2" s="1"/>
  <c r="G444" i="2"/>
  <c r="H444" i="2" s="1"/>
  <c r="G346" i="2"/>
  <c r="H346" i="2" s="1"/>
  <c r="G368" i="2"/>
  <c r="H368" i="2" s="1"/>
  <c r="G300" i="2"/>
  <c r="H300" i="2" s="1"/>
  <c r="G421" i="2"/>
  <c r="H421" i="2" s="1"/>
  <c r="G469" i="2"/>
  <c r="H469" i="2" s="1"/>
  <c r="G294" i="2"/>
  <c r="H294" i="2" s="1"/>
  <c r="G468" i="2"/>
  <c r="H468" i="2" s="1"/>
  <c r="G420" i="2"/>
  <c r="H420" i="2" s="1"/>
  <c r="G255" i="2"/>
  <c r="H255" i="2" s="1"/>
  <c r="G545" i="2"/>
  <c r="H545" i="2" s="1"/>
  <c r="G471" i="2"/>
  <c r="H471" i="2" s="1"/>
  <c r="G425" i="2"/>
  <c r="H425" i="2" s="1"/>
  <c r="G297" i="2"/>
  <c r="H297" i="2" s="1"/>
  <c r="G539" i="2"/>
  <c r="H539" i="2" s="1"/>
  <c r="G414" i="2"/>
  <c r="H414" i="2" s="1"/>
  <c r="G288" i="2"/>
  <c r="H288" i="2" s="1"/>
  <c r="G222" i="2"/>
  <c r="H222" i="2" s="1"/>
  <c r="G538" i="2"/>
  <c r="H538" i="2" s="1"/>
  <c r="G221" i="2"/>
  <c r="H221" i="2" s="1"/>
  <c r="G287" i="2"/>
  <c r="H287" i="2" s="1"/>
  <c r="G427" i="2"/>
  <c r="H427" i="2" s="1"/>
  <c r="G445" i="2"/>
  <c r="H445" i="2" s="1"/>
  <c r="G347" i="2"/>
  <c r="H347" i="2" s="1"/>
  <c r="G369" i="2"/>
  <c r="H369" i="2" s="1"/>
  <c r="G301" i="2"/>
  <c r="H301" i="2" s="1"/>
  <c r="G536" i="2"/>
  <c r="H536" i="2" s="1"/>
  <c r="G412" i="2"/>
  <c r="H412" i="2" s="1"/>
  <c r="G219" i="2"/>
  <c r="H219" i="2" s="1"/>
  <c r="G343" i="2"/>
  <c r="H343" i="2" s="1"/>
  <c r="G298" i="2"/>
  <c r="H298" i="2" s="1"/>
  <c r="G225" i="2"/>
  <c r="H225" i="2" s="1"/>
  <c r="G344" i="2"/>
  <c r="H344" i="2" s="1"/>
  <c r="G422" i="2"/>
  <c r="H422" i="2" s="1"/>
  <c r="G441" i="2"/>
  <c r="H441" i="2" s="1"/>
  <c r="G367" i="2"/>
  <c r="H367" i="2" s="1"/>
  <c r="G341" i="2"/>
  <c r="H341" i="2" s="1"/>
  <c r="G253" i="2"/>
  <c r="H253" i="2" s="1"/>
  <c r="G416" i="2"/>
  <c r="H416" i="2" s="1"/>
  <c r="G290" i="2"/>
  <c r="H290" i="2" s="1"/>
  <c r="G542" i="2"/>
  <c r="H542" i="2" s="1"/>
  <c r="G442" i="2"/>
  <c r="H442" i="2" s="1"/>
  <c r="G535" i="2"/>
  <c r="H535" i="2" s="1"/>
  <c r="G342" i="2"/>
  <c r="H342" i="2" s="1"/>
  <c r="G271" i="2"/>
  <c r="H271" i="2" s="1"/>
  <c r="G254" i="2"/>
  <c r="H254" i="2" s="1"/>
  <c r="G299" i="2"/>
  <c r="H299" i="2" s="1"/>
  <c r="G345" i="2"/>
  <c r="H345" i="2" s="1"/>
  <c r="G537" i="2"/>
  <c r="H537" i="2" s="1"/>
  <c r="G413" i="2"/>
  <c r="H413" i="2" s="1"/>
  <c r="G220" i="2"/>
  <c r="H220" i="2" s="1"/>
  <c r="G286" i="2"/>
  <c r="H286" i="2" s="1"/>
  <c r="G448" i="2"/>
  <c r="H448" i="2" s="1"/>
  <c r="G226" i="2"/>
  <c r="G541" i="2"/>
  <c r="H541" i="2" s="1"/>
  <c r="G417" i="2"/>
  <c r="H417" i="2" s="1"/>
  <c r="G224" i="2"/>
  <c r="H224" i="2" s="1"/>
  <c r="G291" i="2"/>
  <c r="H291" i="2" s="1"/>
  <c r="G543" i="2"/>
  <c r="H543" i="2" s="1"/>
  <c r="G423" i="2"/>
  <c r="H423" i="2" s="1"/>
  <c r="G443" i="2"/>
  <c r="H443" i="2" s="1"/>
  <c r="G295" i="2"/>
  <c r="H295" i="2" s="1"/>
  <c r="G544" i="2"/>
  <c r="H544" i="2" s="1"/>
  <c r="G470" i="2"/>
  <c r="H470" i="2" s="1"/>
  <c r="G424" i="2"/>
  <c r="H424" i="2" s="1"/>
  <c r="G296" i="2"/>
  <c r="H296" i="2" s="1"/>
  <c r="G383" i="2"/>
  <c r="H383" i="2" s="1"/>
  <c r="G419" i="2"/>
  <c r="H419" i="2" s="1"/>
  <c r="G293" i="2"/>
  <c r="H293" i="2" s="1"/>
  <c r="G540" i="2"/>
  <c r="H540" i="2" s="1"/>
  <c r="G415" i="2"/>
  <c r="H415" i="2" s="1"/>
  <c r="G223" i="2"/>
  <c r="H223" i="2" s="1"/>
  <c r="G289" i="2"/>
  <c r="H289" i="2" s="1"/>
  <c r="G418" i="2"/>
  <c r="H418" i="2" s="1"/>
  <c r="G292" i="2"/>
  <c r="H292" i="2" s="1"/>
  <c r="I5" i="1"/>
  <c r="J5" i="1" s="1"/>
  <c r="L5" i="1" s="1"/>
  <c r="V5" i="1" s="1"/>
  <c r="I6" i="1"/>
  <c r="J6" i="1" s="1"/>
  <c r="L6" i="1" s="1"/>
  <c r="V6" i="1" s="1"/>
  <c r="I7" i="1"/>
  <c r="J7" i="1" s="1"/>
  <c r="L7" i="1" s="1"/>
  <c r="V7" i="1" s="1"/>
  <c r="I8" i="1"/>
  <c r="J8" i="1" s="1"/>
  <c r="L8" i="1" s="1"/>
  <c r="V8" i="1" s="1"/>
  <c r="I9" i="1"/>
  <c r="J9" i="1" s="1"/>
  <c r="L9" i="1" s="1"/>
  <c r="V9" i="1" s="1"/>
  <c r="I10" i="1"/>
  <c r="J10" i="1" s="1"/>
  <c r="L10" i="1" s="1"/>
  <c r="V10" i="1" s="1"/>
  <c r="I11" i="1"/>
  <c r="J11" i="1" s="1"/>
  <c r="L11" i="1" s="1"/>
  <c r="V11" i="1" s="1"/>
  <c r="I12" i="1"/>
  <c r="J12" i="1" s="1"/>
  <c r="L12" i="1" s="1"/>
  <c r="V12" i="1" s="1"/>
  <c r="I13" i="1"/>
  <c r="J13" i="1" s="1"/>
  <c r="L13" i="1" s="1"/>
  <c r="V13" i="1" s="1"/>
  <c r="I14" i="1"/>
  <c r="J14" i="1" s="1"/>
  <c r="L14" i="1" s="1"/>
  <c r="V14" i="1" s="1"/>
  <c r="I15" i="1"/>
  <c r="J15" i="1" s="1"/>
  <c r="L15" i="1" s="1"/>
  <c r="V15" i="1" s="1"/>
  <c r="I16" i="1"/>
  <c r="J16" i="1" s="1"/>
  <c r="L16" i="1" s="1"/>
  <c r="V16" i="1" s="1"/>
  <c r="I17" i="1"/>
  <c r="J17" i="1" s="1"/>
  <c r="L17" i="1" s="1"/>
  <c r="V17" i="1" s="1"/>
  <c r="I18" i="1"/>
  <c r="J18" i="1" s="1"/>
  <c r="L18" i="1" s="1"/>
  <c r="V18" i="1" s="1"/>
  <c r="I19" i="1"/>
  <c r="J19" i="1" s="1"/>
  <c r="L19" i="1" s="1"/>
  <c r="V19" i="1" s="1"/>
  <c r="I20" i="1"/>
  <c r="J20" i="1" s="1"/>
  <c r="L20" i="1" s="1"/>
  <c r="V20" i="1" s="1"/>
  <c r="I21" i="1"/>
  <c r="J21" i="1" s="1"/>
  <c r="L21" i="1" s="1"/>
  <c r="V21" i="1" s="1"/>
  <c r="I22" i="1"/>
  <c r="J22" i="1" s="1"/>
  <c r="L22" i="1" s="1"/>
  <c r="V22" i="1" s="1"/>
  <c r="I23" i="1"/>
  <c r="J23" i="1" s="1"/>
  <c r="L23" i="1" s="1"/>
  <c r="V23" i="1" s="1"/>
  <c r="I24" i="1"/>
  <c r="J24" i="1" s="1"/>
  <c r="L24" i="1" s="1"/>
  <c r="V24" i="1" s="1"/>
  <c r="I25" i="1"/>
  <c r="J25" i="1" s="1"/>
  <c r="L25" i="1" s="1"/>
  <c r="V25" i="1" s="1"/>
  <c r="I26" i="1"/>
  <c r="J26" i="1" s="1"/>
  <c r="L26" i="1" s="1"/>
  <c r="V26" i="1" s="1"/>
  <c r="I27" i="1"/>
  <c r="J27" i="1" s="1"/>
  <c r="L27" i="1" s="1"/>
  <c r="V27" i="1" s="1"/>
  <c r="I28" i="1"/>
  <c r="J28" i="1" s="1"/>
  <c r="L28" i="1" s="1"/>
  <c r="V28" i="1" s="1"/>
  <c r="I29" i="1"/>
  <c r="J29" i="1" s="1"/>
  <c r="L29" i="1" s="1"/>
  <c r="V29" i="1" s="1"/>
  <c r="I30" i="1"/>
  <c r="J30" i="1" s="1"/>
  <c r="L30" i="1" s="1"/>
  <c r="V30" i="1" s="1"/>
  <c r="I31" i="1"/>
  <c r="J31" i="1" s="1"/>
  <c r="L31" i="1" s="1"/>
  <c r="V31" i="1" s="1"/>
  <c r="I32" i="1"/>
  <c r="J32" i="1" s="1"/>
  <c r="L32" i="1" s="1"/>
  <c r="V32" i="1" s="1"/>
  <c r="I33" i="1"/>
  <c r="J33" i="1" s="1"/>
  <c r="L33" i="1" s="1"/>
  <c r="V33" i="1" s="1"/>
  <c r="I34" i="1"/>
  <c r="J34" i="1" s="1"/>
  <c r="L34" i="1" s="1"/>
  <c r="V34" i="1" s="1"/>
  <c r="I4" i="1"/>
  <c r="J4" i="1" s="1"/>
  <c r="L4" i="1" s="1"/>
  <c r="V4" i="1" s="1"/>
  <c r="H1" i="1"/>
  <c r="G390" i="2" l="1"/>
  <c r="H390" i="2" s="1"/>
  <c r="G357" i="2"/>
  <c r="H357" i="2" s="1"/>
  <c r="G324" i="2"/>
  <c r="H324" i="2" s="1"/>
  <c r="G325" i="2"/>
  <c r="H325" i="2" s="1"/>
  <c r="G358" i="2"/>
  <c r="H358" i="2" s="1"/>
  <c r="V35" i="1"/>
  <c r="Y35" i="1" s="1"/>
  <c r="G465" i="2"/>
  <c r="H465" i="2" s="1"/>
  <c r="G322" i="2"/>
  <c r="H322" i="2" s="1"/>
  <c r="G379" i="2"/>
  <c r="H379" i="2" s="1"/>
  <c r="G355" i="2"/>
  <c r="H355" i="2" s="1"/>
  <c r="G497" i="2"/>
  <c r="H497" i="2" s="1"/>
  <c r="G251" i="2"/>
  <c r="H251" i="2" s="1"/>
  <c r="G217" i="2"/>
  <c r="H217" i="2" s="1"/>
  <c r="G391" i="2"/>
  <c r="H391" i="2" s="1"/>
  <c r="G326" i="2"/>
  <c r="H326" i="2" s="1"/>
  <c r="G359" i="2"/>
  <c r="H359" i="2" s="1"/>
  <c r="G389" i="2"/>
  <c r="H389" i="2" s="1"/>
  <c r="G380" i="2"/>
  <c r="H380" i="2" s="1"/>
  <c r="G356" i="2"/>
  <c r="H356" i="2" s="1"/>
  <c r="G323" i="2"/>
  <c r="H323" i="2" s="1"/>
  <c r="G401" i="2"/>
  <c r="H401" i="2" s="1"/>
  <c r="G281" i="2"/>
  <c r="H281" i="2" s="1"/>
  <c r="G264" i="2"/>
  <c r="H264" i="2" s="1"/>
  <c r="G243" i="2"/>
  <c r="H243" i="2" s="1"/>
  <c r="G336" i="2"/>
  <c r="H336" i="2" s="1"/>
  <c r="G252" i="2"/>
  <c r="H252" i="2" s="1"/>
  <c r="G218" i="2"/>
  <c r="H218" i="2" s="1"/>
  <c r="G399" i="2"/>
  <c r="H399" i="2" s="1"/>
  <c r="G364" i="2"/>
  <c r="H364" i="2" s="1"/>
  <c r="G279" i="2"/>
  <c r="H279" i="2" s="1"/>
  <c r="G262" i="2"/>
  <c r="H262" i="2" s="1"/>
  <c r="G334" i="2"/>
  <c r="H334" i="2" s="1"/>
  <c r="G309" i="2"/>
  <c r="H309" i="2" s="1"/>
  <c r="G496" i="2"/>
  <c r="H496" i="2" s="1"/>
  <c r="G411" i="2"/>
  <c r="H411" i="2" s="1"/>
  <c r="G250" i="2"/>
  <c r="H250" i="2" s="1"/>
  <c r="G216" i="2"/>
  <c r="H216" i="2" s="1"/>
  <c r="G398" i="2"/>
  <c r="H398" i="2" s="1"/>
  <c r="G278" i="2"/>
  <c r="H278" i="2" s="1"/>
  <c r="G333" i="2"/>
  <c r="H333" i="2" s="1"/>
  <c r="G308" i="2"/>
  <c r="H308" i="2" s="1"/>
  <c r="G261" i="2"/>
  <c r="H261" i="2" s="1"/>
  <c r="G365" i="2"/>
  <c r="H365" i="2" s="1"/>
  <c r="G244" i="2"/>
  <c r="H244" i="2" s="1"/>
  <c r="G265" i="2"/>
  <c r="H265" i="2" s="1"/>
  <c r="G337" i="2"/>
  <c r="H337" i="2" s="1"/>
  <c r="G397" i="2"/>
  <c r="H397" i="2" s="1"/>
  <c r="G363" i="2"/>
  <c r="H363" i="2" s="1"/>
  <c r="G332" i="2"/>
  <c r="H332" i="2" s="1"/>
  <c r="G307" i="2"/>
  <c r="H307" i="2" s="1"/>
  <c r="G277" i="2"/>
  <c r="H277" i="2" s="1"/>
  <c r="G405" i="2"/>
  <c r="H405" i="2" s="1"/>
  <c r="G282" i="2"/>
  <c r="H282" i="2" s="1"/>
  <c r="G340" i="2"/>
  <c r="H340" i="2" s="1"/>
  <c r="G269" i="2"/>
  <c r="H269" i="2" s="1"/>
  <c r="G234" i="2"/>
  <c r="H234" i="2" s="1"/>
  <c r="G248" i="2"/>
  <c r="H248" i="2" s="1"/>
  <c r="G404" i="2"/>
  <c r="H404" i="2" s="1"/>
  <c r="G233" i="2"/>
  <c r="H233" i="2" s="1"/>
  <c r="G268" i="2"/>
  <c r="H268" i="2" s="1"/>
  <c r="G339" i="2"/>
  <c r="H339" i="2" s="1"/>
  <c r="G247" i="2"/>
  <c r="H247" i="2" s="1"/>
  <c r="G403" i="2"/>
  <c r="H403" i="2" s="1"/>
  <c r="G246" i="2"/>
  <c r="H246" i="2" s="1"/>
  <c r="G310" i="2"/>
  <c r="H310" i="2" s="1"/>
  <c r="G267" i="2"/>
  <c r="H267" i="2" s="1"/>
  <c r="G232" i="2"/>
  <c r="H232" i="2" s="1"/>
  <c r="G400" i="2"/>
  <c r="H400" i="2" s="1"/>
  <c r="G280" i="2"/>
  <c r="H280" i="2" s="1"/>
  <c r="G263" i="2"/>
  <c r="H263" i="2" s="1"/>
  <c r="G335" i="2"/>
  <c r="H335" i="2" s="1"/>
  <c r="G242" i="2"/>
  <c r="H242" i="2" s="1"/>
  <c r="G495" i="2"/>
  <c r="H495" i="2" s="1"/>
  <c r="G410" i="2"/>
  <c r="H410" i="2" s="1"/>
  <c r="G215" i="2"/>
  <c r="H215" i="2" s="1"/>
  <c r="G249" i="2"/>
  <c r="H249" i="2" s="1"/>
  <c r="G494" i="2"/>
  <c r="H494" i="2" s="1"/>
  <c r="G214" i="2"/>
  <c r="H214" i="2" s="1"/>
  <c r="G402" i="2"/>
  <c r="H402" i="2" s="1"/>
  <c r="G366" i="2"/>
  <c r="H366" i="2" s="1"/>
  <c r="G245" i="2"/>
  <c r="H245" i="2" s="1"/>
  <c r="G266" i="2"/>
  <c r="H266" i="2" s="1"/>
  <c r="G338" i="2"/>
  <c r="H338" i="2" s="1"/>
  <c r="G493" i="2"/>
  <c r="H493" i="2" s="1"/>
  <c r="G409" i="2"/>
  <c r="H409" i="2" s="1"/>
  <c r="G213" i="2"/>
  <c r="H213" i="2" s="1"/>
  <c r="G396" i="2"/>
  <c r="H396" i="2" s="1"/>
  <c r="G331" i="2"/>
  <c r="H331" i="2" s="1"/>
  <c r="G306" i="2"/>
  <c r="H306" i="2" s="1"/>
  <c r="G276" i="2"/>
  <c r="H276" i="2" s="1"/>
  <c r="G382" i="2"/>
  <c r="H382" i="2" s="1"/>
  <c r="G395" i="2"/>
  <c r="H395" i="2" s="1"/>
  <c r="G330" i="2"/>
  <c r="H330" i="2" s="1"/>
  <c r="G362" i="2"/>
  <c r="H362" i="2" s="1"/>
  <c r="G317" i="2"/>
  <c r="H317" i="2" s="1"/>
  <c r="G305" i="2"/>
  <c r="H305" i="2" s="1"/>
  <c r="G492" i="2"/>
  <c r="H492" i="2" s="1"/>
  <c r="G408" i="2"/>
  <c r="H408" i="2" s="1"/>
  <c r="G285" i="2"/>
  <c r="H285" i="2" s="1"/>
  <c r="G212" i="2"/>
  <c r="H212" i="2" s="1"/>
  <c r="G467" i="2"/>
  <c r="H467" i="2" s="1"/>
  <c r="G394" i="2"/>
  <c r="H394" i="2" s="1"/>
  <c r="G329" i="2"/>
  <c r="H329" i="2" s="1"/>
  <c r="G316" i="2"/>
  <c r="H316" i="2" s="1"/>
  <c r="G407" i="2"/>
  <c r="H407" i="2" s="1"/>
  <c r="G284" i="2"/>
  <c r="H284" i="2" s="1"/>
  <c r="G236" i="2"/>
  <c r="H236" i="2" s="1"/>
  <c r="G466" i="2"/>
  <c r="H466" i="2" s="1"/>
  <c r="G393" i="2"/>
  <c r="H393" i="2" s="1"/>
  <c r="G315" i="2"/>
  <c r="H315" i="2" s="1"/>
  <c r="G328" i="2"/>
  <c r="H328" i="2" s="1"/>
  <c r="G361" i="2"/>
  <c r="H361" i="2" s="1"/>
  <c r="G406" i="2"/>
  <c r="H406" i="2" s="1"/>
  <c r="G283" i="2"/>
  <c r="H283" i="2" s="1"/>
  <c r="G270" i="2"/>
  <c r="H270" i="2" s="1"/>
  <c r="G235" i="2"/>
  <c r="H235" i="2" s="1"/>
  <c r="G392" i="2"/>
  <c r="H392" i="2" s="1"/>
  <c r="G381" i="2"/>
  <c r="H381" i="2" s="1"/>
  <c r="G360" i="2"/>
  <c r="H360" i="2" s="1"/>
  <c r="G327" i="2"/>
  <c r="H327" i="2" s="1"/>
  <c r="N185" i="2"/>
  <c r="N186" i="2"/>
  <c r="N190" i="2"/>
  <c r="N191" i="2"/>
  <c r="N184" i="2"/>
  <c r="I185" i="2"/>
  <c r="I186" i="2"/>
  <c r="I190" i="2"/>
  <c r="I191" i="2"/>
  <c r="I184" i="2"/>
  <c r="G185" i="2"/>
  <c r="H185" i="2" s="1"/>
  <c r="L185" i="2"/>
  <c r="M185" i="2" s="1"/>
  <c r="G186" i="2"/>
  <c r="H186" i="2" s="1"/>
  <c r="L186" i="2"/>
  <c r="M186" i="2" s="1"/>
  <c r="G187" i="2"/>
  <c r="H187" i="2" s="1"/>
  <c r="J187" i="2" s="1"/>
  <c r="L187" i="2"/>
  <c r="M187" i="2" s="1"/>
  <c r="O187" i="2" s="1"/>
  <c r="G188" i="2"/>
  <c r="H188" i="2" s="1"/>
  <c r="J188" i="2" s="1"/>
  <c r="L188" i="2"/>
  <c r="M188" i="2" s="1"/>
  <c r="O188" i="2" s="1"/>
  <c r="G189" i="2"/>
  <c r="H189" i="2" s="1"/>
  <c r="J189" i="2" s="1"/>
  <c r="L189" i="2"/>
  <c r="M189" i="2" s="1"/>
  <c r="O189" i="2" s="1"/>
  <c r="G190" i="2"/>
  <c r="H190" i="2" s="1"/>
  <c r="L190" i="2"/>
  <c r="M190" i="2" s="1"/>
  <c r="O190" i="2" s="1"/>
  <c r="G191" i="2"/>
  <c r="H191" i="2" s="1"/>
  <c r="L191" i="2"/>
  <c r="M191" i="2" s="1"/>
  <c r="O191" i="2" s="1"/>
  <c r="G192" i="2"/>
  <c r="H192" i="2" s="1"/>
  <c r="L192" i="2"/>
  <c r="M192" i="2" s="1"/>
  <c r="G193" i="2"/>
  <c r="H193" i="2" s="1"/>
  <c r="L193" i="2"/>
  <c r="M193" i="2" s="1"/>
  <c r="G194" i="2"/>
  <c r="H194" i="2" s="1"/>
  <c r="J194" i="2" s="1"/>
  <c r="L194" i="2"/>
  <c r="M194" i="2" s="1"/>
  <c r="O194" i="2" s="1"/>
  <c r="G195" i="2"/>
  <c r="H195" i="2" s="1"/>
  <c r="J195" i="2" s="1"/>
  <c r="L195" i="2"/>
  <c r="M195" i="2" s="1"/>
  <c r="O195" i="2" s="1"/>
  <c r="L184" i="2"/>
  <c r="M184" i="2" s="1"/>
  <c r="G184" i="2"/>
  <c r="H184" i="2" s="1"/>
  <c r="D187" i="2"/>
  <c r="D188" i="2"/>
  <c r="D189" i="2"/>
  <c r="D194" i="2"/>
  <c r="D195" i="2"/>
  <c r="C190" i="2"/>
  <c r="D190" i="2" s="1"/>
  <c r="C191" i="2"/>
  <c r="D191" i="2" s="1"/>
  <c r="N167" i="2"/>
  <c r="N168" i="2"/>
  <c r="N169" i="2"/>
  <c r="N176" i="2"/>
  <c r="N192" i="2" s="1"/>
  <c r="N177" i="2"/>
  <c r="N193" i="2" s="1"/>
  <c r="N166" i="2"/>
  <c r="I167" i="2"/>
  <c r="I168" i="2"/>
  <c r="I169" i="2"/>
  <c r="I176" i="2"/>
  <c r="I192" i="2" s="1"/>
  <c r="I177" i="2"/>
  <c r="I166" i="2"/>
  <c r="G167" i="2"/>
  <c r="H167" i="2" s="1"/>
  <c r="G168" i="2"/>
  <c r="H168" i="2" s="1"/>
  <c r="J168" i="2" s="1"/>
  <c r="G169" i="2"/>
  <c r="H169" i="2" s="1"/>
  <c r="G170" i="2"/>
  <c r="H170" i="2"/>
  <c r="J170" i="2" s="1"/>
  <c r="G171" i="2"/>
  <c r="H171" i="2" s="1"/>
  <c r="J171" i="2" s="1"/>
  <c r="G172" i="2"/>
  <c r="H172" i="2" s="1"/>
  <c r="J172" i="2" s="1"/>
  <c r="G173" i="2"/>
  <c r="H173" i="2" s="1"/>
  <c r="J173" i="2" s="1"/>
  <c r="G174" i="2"/>
  <c r="H174" i="2" s="1"/>
  <c r="J174" i="2" s="1"/>
  <c r="G175" i="2"/>
  <c r="H175" i="2" s="1"/>
  <c r="J175" i="2" s="1"/>
  <c r="G176" i="2"/>
  <c r="H176" i="2" s="1"/>
  <c r="G177" i="2"/>
  <c r="H177" i="2" s="1"/>
  <c r="G178" i="2"/>
  <c r="H178" i="2" s="1"/>
  <c r="J178" i="2" s="1"/>
  <c r="G179" i="2"/>
  <c r="H179" i="2" s="1"/>
  <c r="J179" i="2" s="1"/>
  <c r="G166" i="2"/>
  <c r="H166" i="2" s="1"/>
  <c r="L178" i="2"/>
  <c r="M178" i="2" s="1"/>
  <c r="O178" i="2" s="1"/>
  <c r="L179" i="2"/>
  <c r="M179" i="2" s="1"/>
  <c r="O179" i="2" s="1"/>
  <c r="L177" i="2"/>
  <c r="M177" i="2" s="1"/>
  <c r="L176" i="2"/>
  <c r="M176" i="2" s="1"/>
  <c r="L175" i="2"/>
  <c r="M175" i="2" s="1"/>
  <c r="O175" i="2" s="1"/>
  <c r="L174" i="2"/>
  <c r="M174" i="2" s="1"/>
  <c r="O174" i="2" s="1"/>
  <c r="L173" i="2"/>
  <c r="M173" i="2" s="1"/>
  <c r="O173" i="2" s="1"/>
  <c r="L172" i="2"/>
  <c r="M172" i="2" s="1"/>
  <c r="O172" i="2" s="1"/>
  <c r="L171" i="2"/>
  <c r="M171" i="2" s="1"/>
  <c r="O171" i="2" s="1"/>
  <c r="L170" i="2"/>
  <c r="M170" i="2" s="1"/>
  <c r="O170" i="2" s="1"/>
  <c r="L169" i="2"/>
  <c r="M169" i="2" s="1"/>
  <c r="L168" i="2"/>
  <c r="M168" i="2" s="1"/>
  <c r="L167" i="2"/>
  <c r="M167" i="2" s="1"/>
  <c r="L166" i="2"/>
  <c r="M166" i="2" s="1"/>
  <c r="D174" i="2"/>
  <c r="D175" i="2"/>
  <c r="D178" i="2"/>
  <c r="D179" i="2"/>
  <c r="C171" i="2"/>
  <c r="C185" i="2" s="1"/>
  <c r="D185" i="2" s="1"/>
  <c r="C172" i="2"/>
  <c r="D172" i="2" s="1"/>
  <c r="C173" i="2"/>
  <c r="C186" i="2" s="1"/>
  <c r="D186" i="2" s="1"/>
  <c r="C176" i="2"/>
  <c r="D176" i="2" s="1"/>
  <c r="C177" i="2"/>
  <c r="C193" i="2" s="1"/>
  <c r="D193" i="2" s="1"/>
  <c r="C170" i="2"/>
  <c r="D170" i="2" s="1"/>
  <c r="L147" i="2"/>
  <c r="M147" i="2" s="1"/>
  <c r="O147" i="2" s="1"/>
  <c r="L148" i="2"/>
  <c r="M148" i="2" s="1"/>
  <c r="O148" i="2" s="1"/>
  <c r="L149" i="2"/>
  <c r="M149" i="2" s="1"/>
  <c r="O149" i="2" s="1"/>
  <c r="L150" i="2"/>
  <c r="M150" i="2" s="1"/>
  <c r="O150" i="2" s="1"/>
  <c r="L151" i="2"/>
  <c r="M151" i="2" s="1"/>
  <c r="O151" i="2" s="1"/>
  <c r="L152" i="2"/>
  <c r="M152" i="2" s="1"/>
  <c r="O152" i="2" s="1"/>
  <c r="L153" i="2"/>
  <c r="M153" i="2" s="1"/>
  <c r="O153" i="2" s="1"/>
  <c r="L154" i="2"/>
  <c r="M154" i="2" s="1"/>
  <c r="O154" i="2" s="1"/>
  <c r="L155" i="2"/>
  <c r="M155" i="2" s="1"/>
  <c r="O155" i="2" s="1"/>
  <c r="L156" i="2"/>
  <c r="M156" i="2" s="1"/>
  <c r="O156" i="2" s="1"/>
  <c r="L157" i="2"/>
  <c r="M157" i="2" s="1"/>
  <c r="O157" i="2" s="1"/>
  <c r="L158" i="2"/>
  <c r="M158" i="2" s="1"/>
  <c r="O158" i="2" s="1"/>
  <c r="L159" i="2"/>
  <c r="M159" i="2" s="1"/>
  <c r="O159" i="2" s="1"/>
  <c r="L146" i="2"/>
  <c r="M146" i="2" s="1"/>
  <c r="O146" i="2" s="1"/>
  <c r="G147" i="2"/>
  <c r="H147" i="2" s="1"/>
  <c r="J147" i="2" s="1"/>
  <c r="G148" i="2"/>
  <c r="H148" i="2" s="1"/>
  <c r="J148" i="2" s="1"/>
  <c r="G149" i="2"/>
  <c r="H149" i="2" s="1"/>
  <c r="J149" i="2" s="1"/>
  <c r="G150" i="2"/>
  <c r="H150" i="2" s="1"/>
  <c r="J150" i="2" s="1"/>
  <c r="G151" i="2"/>
  <c r="H151" i="2" s="1"/>
  <c r="J151" i="2" s="1"/>
  <c r="G152" i="2"/>
  <c r="H152" i="2" s="1"/>
  <c r="J152" i="2" s="1"/>
  <c r="G153" i="2"/>
  <c r="H153" i="2" s="1"/>
  <c r="J153" i="2" s="1"/>
  <c r="G154" i="2"/>
  <c r="H154" i="2" s="1"/>
  <c r="J154" i="2" s="1"/>
  <c r="G155" i="2"/>
  <c r="H155" i="2" s="1"/>
  <c r="J155" i="2" s="1"/>
  <c r="G156" i="2"/>
  <c r="H156" i="2" s="1"/>
  <c r="J156" i="2" s="1"/>
  <c r="G157" i="2"/>
  <c r="H157" i="2" s="1"/>
  <c r="J157" i="2" s="1"/>
  <c r="G158" i="2"/>
  <c r="H158" i="2" s="1"/>
  <c r="J158" i="2" s="1"/>
  <c r="G159" i="2"/>
  <c r="H159" i="2" s="1"/>
  <c r="J159" i="2" s="1"/>
  <c r="G146" i="2"/>
  <c r="H146" i="2" s="1"/>
  <c r="J146" i="2" s="1"/>
  <c r="O186" i="2" l="1"/>
  <c r="O185" i="2"/>
  <c r="J167" i="2"/>
  <c r="O166" i="2"/>
  <c r="R185" i="2"/>
  <c r="J192" i="2"/>
  <c r="O168" i="2"/>
  <c r="O184" i="2"/>
  <c r="D171" i="2"/>
  <c r="R171" i="2" s="1"/>
  <c r="Q179" i="2"/>
  <c r="Q178" i="2"/>
  <c r="Q174" i="2"/>
  <c r="R191" i="2"/>
  <c r="Q187" i="2"/>
  <c r="R195" i="2"/>
  <c r="O176" i="2"/>
  <c r="R176" i="2" s="1"/>
  <c r="O177" i="2"/>
  <c r="R194" i="2"/>
  <c r="R179" i="2"/>
  <c r="Q170" i="2"/>
  <c r="Q188" i="2"/>
  <c r="J176" i="2"/>
  <c r="Q176" i="2" s="1"/>
  <c r="Q189" i="2"/>
  <c r="R188" i="2"/>
  <c r="R178" i="2"/>
  <c r="R187" i="2"/>
  <c r="R190" i="2"/>
  <c r="R189" i="2"/>
  <c r="Q195" i="2"/>
  <c r="O193" i="2"/>
  <c r="R193" i="2" s="1"/>
  <c r="O169" i="2"/>
  <c r="Q194" i="2"/>
  <c r="J186" i="2"/>
  <c r="Q186" i="2" s="1"/>
  <c r="O167" i="2"/>
  <c r="J190" i="2"/>
  <c r="Q190" i="2" s="1"/>
  <c r="Q175" i="2"/>
  <c r="R172" i="2"/>
  <c r="R174" i="2"/>
  <c r="O192" i="2"/>
  <c r="R175" i="2"/>
  <c r="Q172" i="2"/>
  <c r="J177" i="2"/>
  <c r="J166" i="2"/>
  <c r="R170" i="2"/>
  <c r="J169" i="2"/>
  <c r="J184" i="2"/>
  <c r="J191" i="2"/>
  <c r="Q191" i="2" s="1"/>
  <c r="J185" i="2"/>
  <c r="Q185" i="2" s="1"/>
  <c r="R186" i="2"/>
  <c r="C184" i="2"/>
  <c r="D184" i="2" s="1"/>
  <c r="D177" i="2"/>
  <c r="I193" i="2"/>
  <c r="J193" i="2" s="1"/>
  <c r="Q193" i="2" s="1"/>
  <c r="C192" i="2"/>
  <c r="D192" i="2" s="1"/>
  <c r="D173" i="2"/>
  <c r="Q173" i="2" s="1"/>
  <c r="B161" i="2"/>
  <c r="D158" i="2"/>
  <c r="R158" i="2" s="1"/>
  <c r="D159" i="2"/>
  <c r="R159" i="2" s="1"/>
  <c r="D160" i="2"/>
  <c r="Q158" i="2" l="1"/>
  <c r="R184" i="2"/>
  <c r="R192" i="2"/>
  <c r="R177" i="2"/>
  <c r="Q171" i="2"/>
  <c r="Q177" i="2"/>
  <c r="R173" i="2"/>
  <c r="R196" i="2"/>
  <c r="Q159" i="2"/>
  <c r="Q192" i="2"/>
  <c r="Q184" i="2"/>
  <c r="C156" i="2"/>
  <c r="C157" i="2"/>
  <c r="C155" i="2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C146" i="2"/>
  <c r="C141" i="2"/>
  <c r="B141" i="2"/>
  <c r="J127" i="2"/>
  <c r="J129" i="2"/>
  <c r="J130" i="2"/>
  <c r="J131" i="2"/>
  <c r="J132" i="2"/>
  <c r="J133" i="2"/>
  <c r="J134" i="2"/>
  <c r="J126" i="2"/>
  <c r="D127" i="2"/>
  <c r="P127" i="2" s="1"/>
  <c r="D128" i="2"/>
  <c r="P128" i="2" s="1"/>
  <c r="D129" i="2"/>
  <c r="P129" i="2" s="1"/>
  <c r="D130" i="2"/>
  <c r="P130" i="2" s="1"/>
  <c r="D131" i="2"/>
  <c r="P131" i="2" s="1"/>
  <c r="D132" i="2"/>
  <c r="O132" i="2" s="1"/>
  <c r="D133" i="2"/>
  <c r="P133" i="2" s="1"/>
  <c r="D134" i="2"/>
  <c r="O134" i="2" s="1"/>
  <c r="D135" i="2"/>
  <c r="P135" i="2" s="1"/>
  <c r="D136" i="2"/>
  <c r="O136" i="2" s="1"/>
  <c r="D137" i="2"/>
  <c r="P137" i="2" s="1"/>
  <c r="D138" i="2"/>
  <c r="P138" i="2" s="1"/>
  <c r="D139" i="2"/>
  <c r="O139" i="2" s="1"/>
  <c r="D140" i="2"/>
  <c r="R140" i="2" s="1"/>
  <c r="D126" i="2"/>
  <c r="R126" i="2" s="1"/>
  <c r="D116" i="2"/>
  <c r="O116" i="2" s="1"/>
  <c r="D117" i="2"/>
  <c r="O117" i="2" s="1"/>
  <c r="D118" i="2"/>
  <c r="O118" i="2" s="1"/>
  <c r="D119" i="2"/>
  <c r="Q119" i="2" s="1"/>
  <c r="D120" i="2"/>
  <c r="P120" i="2" s="1"/>
  <c r="D121" i="2"/>
  <c r="O121" i="2" s="1"/>
  <c r="D122" i="2"/>
  <c r="O122" i="2" s="1"/>
  <c r="D115" i="2"/>
  <c r="P115" i="2" s="1"/>
  <c r="C105" i="2"/>
  <c r="D105" i="2" s="1"/>
  <c r="C106" i="2"/>
  <c r="D106" i="2" s="1"/>
  <c r="O106" i="2" s="1"/>
  <c r="C107" i="2"/>
  <c r="D107" i="2" s="1"/>
  <c r="C108" i="2"/>
  <c r="D108" i="2" s="1"/>
  <c r="C109" i="2"/>
  <c r="D109" i="2" s="1"/>
  <c r="Q109" i="2" s="1"/>
  <c r="C104" i="2"/>
  <c r="D104" i="2" s="1"/>
  <c r="R104" i="2" s="1"/>
  <c r="D93" i="2"/>
  <c r="R93" i="2" s="1"/>
  <c r="D94" i="2"/>
  <c r="O94" i="2" s="1"/>
  <c r="D95" i="2"/>
  <c r="R95" i="2" s="1"/>
  <c r="D96" i="2"/>
  <c r="Q96" i="2" s="1"/>
  <c r="D97" i="2"/>
  <c r="O97" i="2" s="1"/>
  <c r="D98" i="2"/>
  <c r="O98" i="2" s="1"/>
  <c r="D92" i="2"/>
  <c r="O92" i="2" s="1"/>
  <c r="I93" i="2"/>
  <c r="I94" i="2"/>
  <c r="I95" i="2"/>
  <c r="I96" i="2"/>
  <c r="I97" i="2"/>
  <c r="I98" i="2"/>
  <c r="I92" i="2"/>
  <c r="G74" i="2"/>
  <c r="Q74" i="2" s="1"/>
  <c r="G75" i="2"/>
  <c r="P75" i="2" s="1"/>
  <c r="G76" i="2"/>
  <c r="P76" i="2" s="1"/>
  <c r="G72" i="2"/>
  <c r="R72" i="2" s="1"/>
  <c r="R86" i="2" s="1"/>
  <c r="G85" i="2"/>
  <c r="G84" i="2"/>
  <c r="G83" i="2"/>
  <c r="G82" i="2"/>
  <c r="G81" i="2"/>
  <c r="G80" i="2"/>
  <c r="G79" i="2"/>
  <c r="G78" i="2"/>
  <c r="G77" i="2"/>
  <c r="G73" i="2"/>
  <c r="D49" i="2"/>
  <c r="E49" i="2" s="1"/>
  <c r="D50" i="2"/>
  <c r="E50" i="2" s="1"/>
  <c r="D51" i="2"/>
  <c r="E51" i="2" s="1"/>
  <c r="E60" i="2" s="1"/>
  <c r="D52" i="2"/>
  <c r="H52" i="2" s="1"/>
  <c r="D53" i="2"/>
  <c r="E53" i="2" s="1"/>
  <c r="D54" i="2"/>
  <c r="E54" i="2" s="1"/>
  <c r="D55" i="2"/>
  <c r="E55" i="2" s="1"/>
  <c r="D56" i="2"/>
  <c r="H56" i="2" s="1"/>
  <c r="D57" i="2"/>
  <c r="E57" i="2" s="1"/>
  <c r="D58" i="2"/>
  <c r="E58" i="2" s="1"/>
  <c r="D59" i="2"/>
  <c r="F59" i="2" s="1"/>
  <c r="D48" i="2"/>
  <c r="E48" i="2" s="1"/>
  <c r="Q140" i="2" l="1"/>
  <c r="Q129" i="2"/>
  <c r="P140" i="2"/>
  <c r="O140" i="2"/>
  <c r="Q138" i="2"/>
  <c r="R139" i="2"/>
  <c r="Q196" i="2"/>
  <c r="Q115" i="2"/>
  <c r="R115" i="2"/>
  <c r="O137" i="2"/>
  <c r="R122" i="2"/>
  <c r="P122" i="2"/>
  <c r="Q122" i="2"/>
  <c r="P92" i="2"/>
  <c r="R128" i="2"/>
  <c r="P98" i="2"/>
  <c r="R135" i="2"/>
  <c r="O129" i="2"/>
  <c r="Q121" i="2"/>
  <c r="R121" i="2"/>
  <c r="R116" i="2"/>
  <c r="Q132" i="2"/>
  <c r="Q116" i="2"/>
  <c r="O135" i="2"/>
  <c r="P134" i="2"/>
  <c r="R92" i="2"/>
  <c r="O120" i="2"/>
  <c r="Q139" i="2"/>
  <c r="R132" i="2"/>
  <c r="R134" i="2"/>
  <c r="R97" i="2"/>
  <c r="P139" i="2"/>
  <c r="Q135" i="2"/>
  <c r="P94" i="2"/>
  <c r="R133" i="2"/>
  <c r="Q92" i="2"/>
  <c r="O133" i="2"/>
  <c r="Q97" i="2"/>
  <c r="Q126" i="2"/>
  <c r="P132" i="2"/>
  <c r="D141" i="2"/>
  <c r="Q134" i="2"/>
  <c r="Q136" i="2"/>
  <c r="P136" i="2"/>
  <c r="Q133" i="2"/>
  <c r="R136" i="2"/>
  <c r="Q130" i="2"/>
  <c r="O119" i="2"/>
  <c r="Q128" i="2"/>
  <c r="Q153" i="2"/>
  <c r="R153" i="2"/>
  <c r="P116" i="2"/>
  <c r="R131" i="2"/>
  <c r="R127" i="2"/>
  <c r="Q150" i="2"/>
  <c r="R150" i="2"/>
  <c r="C161" i="2"/>
  <c r="D146" i="2"/>
  <c r="P119" i="2"/>
  <c r="C166" i="2"/>
  <c r="D166" i="2" s="1"/>
  <c r="D154" i="2"/>
  <c r="R152" i="2"/>
  <c r="Q152" i="2"/>
  <c r="P93" i="2"/>
  <c r="O131" i="2"/>
  <c r="O127" i="2"/>
  <c r="R147" i="2"/>
  <c r="Q147" i="2"/>
  <c r="O96" i="2"/>
  <c r="R138" i="2"/>
  <c r="R130" i="2"/>
  <c r="C167" i="2"/>
  <c r="D167" i="2" s="1"/>
  <c r="D155" i="2"/>
  <c r="Q94" i="2"/>
  <c r="O138" i="2"/>
  <c r="O130" i="2"/>
  <c r="O128" i="2"/>
  <c r="R151" i="2"/>
  <c r="Q151" i="2"/>
  <c r="Q131" i="2"/>
  <c r="Q127" i="2"/>
  <c r="Q149" i="2"/>
  <c r="R149" i="2"/>
  <c r="Q148" i="2"/>
  <c r="R148" i="2"/>
  <c r="R120" i="2"/>
  <c r="O126" i="2"/>
  <c r="R137" i="2"/>
  <c r="R129" i="2"/>
  <c r="O95" i="2"/>
  <c r="C169" i="2"/>
  <c r="D169" i="2" s="1"/>
  <c r="D157" i="2"/>
  <c r="Q120" i="2"/>
  <c r="P126" i="2"/>
  <c r="Q137" i="2"/>
  <c r="R94" i="2"/>
  <c r="C168" i="2"/>
  <c r="D168" i="2" s="1"/>
  <c r="D156" i="2"/>
  <c r="O105" i="2"/>
  <c r="P105" i="2"/>
  <c r="Q105" i="2"/>
  <c r="R105" i="2"/>
  <c r="Q108" i="2"/>
  <c r="R108" i="2"/>
  <c r="P108" i="2"/>
  <c r="O108" i="2"/>
  <c r="O107" i="2"/>
  <c r="P107" i="2"/>
  <c r="R107" i="2"/>
  <c r="Q107" i="2"/>
  <c r="Q118" i="2"/>
  <c r="P118" i="2"/>
  <c r="R98" i="2"/>
  <c r="Q93" i="2"/>
  <c r="Q106" i="2"/>
  <c r="O93" i="2"/>
  <c r="Q104" i="2"/>
  <c r="P106" i="2"/>
  <c r="P121" i="2"/>
  <c r="P117" i="2"/>
  <c r="R118" i="2"/>
  <c r="O104" i="2"/>
  <c r="R106" i="2"/>
  <c r="R117" i="2"/>
  <c r="Q98" i="2"/>
  <c r="P104" i="2"/>
  <c r="Q117" i="2"/>
  <c r="R109" i="2"/>
  <c r="P109" i="2"/>
  <c r="O109" i="2"/>
  <c r="R96" i="2"/>
  <c r="O115" i="2"/>
  <c r="R119" i="2"/>
  <c r="P97" i="2"/>
  <c r="P96" i="2"/>
  <c r="Q73" i="2"/>
  <c r="P73" i="2"/>
  <c r="P72" i="2"/>
  <c r="P86" i="2" s="1"/>
  <c r="P74" i="2"/>
  <c r="Q72" i="2"/>
  <c r="Q86" i="2" s="1"/>
  <c r="O72" i="2"/>
  <c r="O86" i="2" s="1"/>
  <c r="P80" i="2"/>
  <c r="O80" i="2"/>
  <c r="R80" i="2"/>
  <c r="Q80" i="2"/>
  <c r="Q81" i="2"/>
  <c r="P81" i="2"/>
  <c r="O81" i="2"/>
  <c r="R81" i="2"/>
  <c r="O82" i="2"/>
  <c r="Q82" i="2"/>
  <c r="P82" i="2"/>
  <c r="R82" i="2"/>
  <c r="O83" i="2"/>
  <c r="P83" i="2"/>
  <c r="Q83" i="2"/>
  <c r="R83" i="2"/>
  <c r="Q84" i="2"/>
  <c r="O84" i="2"/>
  <c r="R84" i="2"/>
  <c r="P84" i="2"/>
  <c r="R85" i="2"/>
  <c r="P85" i="2"/>
  <c r="O85" i="2"/>
  <c r="Q85" i="2"/>
  <c r="O77" i="2"/>
  <c r="R77" i="2"/>
  <c r="P77" i="2"/>
  <c r="Q77" i="2"/>
  <c r="P78" i="2"/>
  <c r="O78" i="2"/>
  <c r="Q78" i="2"/>
  <c r="R78" i="2"/>
  <c r="P79" i="2"/>
  <c r="O79" i="2"/>
  <c r="Q79" i="2"/>
  <c r="R79" i="2"/>
  <c r="R76" i="2"/>
  <c r="R75" i="2"/>
  <c r="R73" i="2"/>
  <c r="Q76" i="2"/>
  <c r="O74" i="2"/>
  <c r="O76" i="2"/>
  <c r="R74" i="2"/>
  <c r="O75" i="2"/>
  <c r="Q75" i="2"/>
  <c r="O73" i="2"/>
  <c r="P95" i="2"/>
  <c r="Q95" i="2"/>
  <c r="H59" i="2"/>
  <c r="G56" i="2"/>
  <c r="F56" i="2"/>
  <c r="H55" i="2"/>
  <c r="G55" i="2"/>
  <c r="H54" i="2"/>
  <c r="E56" i="2"/>
  <c r="F48" i="2"/>
  <c r="G48" i="2"/>
  <c r="H48" i="2"/>
  <c r="G54" i="2"/>
  <c r="F50" i="2"/>
  <c r="H49" i="2"/>
  <c r="F55" i="2"/>
  <c r="G49" i="2"/>
  <c r="G52" i="2"/>
  <c r="F52" i="2"/>
  <c r="E52" i="2"/>
  <c r="H51" i="2"/>
  <c r="H60" i="2" s="1"/>
  <c r="G51" i="2"/>
  <c r="G60" i="2" s="1"/>
  <c r="F51" i="2"/>
  <c r="F60" i="2" s="1"/>
  <c r="H50" i="2"/>
  <c r="G50" i="2"/>
  <c r="F49" i="2"/>
  <c r="E59" i="2"/>
  <c r="G59" i="2"/>
  <c r="H58" i="2"/>
  <c r="G58" i="2"/>
  <c r="F58" i="2"/>
  <c r="F54" i="2"/>
  <c r="H57" i="2"/>
  <c r="H53" i="2"/>
  <c r="G57" i="2"/>
  <c r="G53" i="2"/>
  <c r="F57" i="2"/>
  <c r="F53" i="2"/>
  <c r="O123" i="2" l="1"/>
  <c r="R99" i="2"/>
  <c r="R141" i="2"/>
  <c r="Q141" i="2"/>
  <c r="P141" i="2"/>
  <c r="P99" i="2"/>
  <c r="R123" i="2"/>
  <c r="R110" i="2"/>
  <c r="R169" i="2"/>
  <c r="Q169" i="2"/>
  <c r="P123" i="2"/>
  <c r="Q155" i="2"/>
  <c r="R155" i="2"/>
  <c r="Q157" i="2"/>
  <c r="R157" i="2"/>
  <c r="Q110" i="2"/>
  <c r="O141" i="2"/>
  <c r="Q168" i="2"/>
  <c r="R168" i="2"/>
  <c r="Q154" i="2"/>
  <c r="R154" i="2"/>
  <c r="Q146" i="2"/>
  <c r="R146" i="2"/>
  <c r="O99" i="2"/>
  <c r="Q123" i="2"/>
  <c r="R166" i="2"/>
  <c r="Q166" i="2"/>
  <c r="R156" i="2"/>
  <c r="Q156" i="2"/>
  <c r="Q167" i="2"/>
  <c r="R167" i="2"/>
  <c r="O110" i="2"/>
  <c r="Q99" i="2"/>
  <c r="P110" i="2"/>
  <c r="R160" i="2" l="1"/>
  <c r="Q160" i="2"/>
  <c r="Q180" i="2"/>
  <c r="R180" i="2"/>
  <c r="D31" i="2"/>
  <c r="H31" i="2" s="1"/>
  <c r="D32" i="2"/>
  <c r="H32" i="2" s="1"/>
  <c r="D33" i="2"/>
  <c r="G33" i="2" s="1"/>
  <c r="D34" i="2"/>
  <c r="G34" i="2" s="1"/>
  <c r="D35" i="2"/>
  <c r="F35" i="2" s="1"/>
  <c r="F44" i="2" s="1"/>
  <c r="D36" i="2"/>
  <c r="F36" i="2" s="1"/>
  <c r="D37" i="2"/>
  <c r="E37" i="2" s="1"/>
  <c r="D38" i="2"/>
  <c r="E38" i="2" s="1"/>
  <c r="D39" i="2"/>
  <c r="F39" i="2" s="1"/>
  <c r="D40" i="2"/>
  <c r="H40" i="2" s="1"/>
  <c r="D41" i="2"/>
  <c r="H41" i="2" s="1"/>
  <c r="D42" i="2"/>
  <c r="E42" i="2" s="1"/>
  <c r="D43" i="2"/>
  <c r="F43" i="2" s="1"/>
  <c r="D30" i="2"/>
  <c r="E30" i="2" s="1"/>
  <c r="D20" i="2"/>
  <c r="F20" i="2" s="1"/>
  <c r="D21" i="2"/>
  <c r="F21" i="2" s="1"/>
  <c r="D22" i="2"/>
  <c r="G22" i="2" s="1"/>
  <c r="D23" i="2"/>
  <c r="G23" i="2" s="1"/>
  <c r="D24" i="2"/>
  <c r="G24" i="2" s="1"/>
  <c r="D19" i="2"/>
  <c r="G19" i="2" s="1"/>
  <c r="E41" i="2" l="1"/>
  <c r="E19" i="2"/>
  <c r="E40" i="2"/>
  <c r="E39" i="2"/>
  <c r="E31" i="2"/>
  <c r="F31" i="2"/>
  <c r="H23" i="2"/>
  <c r="H22" i="2"/>
  <c r="E35" i="2"/>
  <c r="E44" i="2" s="1"/>
  <c r="E34" i="2"/>
  <c r="E33" i="2"/>
  <c r="F33" i="2"/>
  <c r="G31" i="2"/>
  <c r="F19" i="2"/>
  <c r="E24" i="2"/>
  <c r="E32" i="2"/>
  <c r="E23" i="2"/>
  <c r="E22" i="2"/>
  <c r="F30" i="2"/>
  <c r="F24" i="2"/>
  <c r="F32" i="2"/>
  <c r="F23" i="2"/>
  <c r="F22" i="2"/>
  <c r="G30" i="2"/>
  <c r="G32" i="2"/>
  <c r="H24" i="2"/>
  <c r="H39" i="2"/>
  <c r="E36" i="2"/>
  <c r="G43" i="2"/>
  <c r="G42" i="2"/>
  <c r="G41" i="2"/>
  <c r="G40" i="2"/>
  <c r="G39" i="2"/>
  <c r="F42" i="2"/>
  <c r="H30" i="2"/>
  <c r="F41" i="2"/>
  <c r="H43" i="2"/>
  <c r="F40" i="2"/>
  <c r="H42" i="2"/>
  <c r="H19" i="2"/>
  <c r="E43" i="2"/>
  <c r="F34" i="2"/>
  <c r="G21" i="2"/>
  <c r="G20" i="2"/>
  <c r="E21" i="2"/>
  <c r="E20" i="2"/>
  <c r="H21" i="2"/>
  <c r="H20" i="2"/>
  <c r="H38" i="2"/>
  <c r="H37" i="2"/>
  <c r="G38" i="2"/>
  <c r="H36" i="2"/>
  <c r="G37" i="2"/>
  <c r="H35" i="2"/>
  <c r="H44" i="2" s="1"/>
  <c r="F38" i="2"/>
  <c r="G36" i="2"/>
  <c r="H34" i="2"/>
  <c r="F37" i="2"/>
  <c r="G35" i="2"/>
  <c r="G44" i="2" s="1"/>
  <c r="H33" i="2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4" i="2"/>
  <c r="E4" i="2" s="1"/>
  <c r="E13" i="2" s="1"/>
  <c r="F8" i="2" l="1"/>
  <c r="F7" i="2"/>
  <c r="F5" i="2"/>
  <c r="G8" i="2"/>
  <c r="G7" i="2"/>
  <c r="G5" i="2"/>
  <c r="H4" i="2"/>
  <c r="H13" i="2" s="1"/>
  <c r="H11" i="2"/>
  <c r="H10" i="2"/>
  <c r="H8" i="2"/>
  <c r="H12" i="2"/>
  <c r="H7" i="2"/>
  <c r="F12" i="2"/>
  <c r="H6" i="2"/>
  <c r="F11" i="2"/>
  <c r="H5" i="2"/>
  <c r="F10" i="2"/>
  <c r="F9" i="2"/>
  <c r="H9" i="2"/>
  <c r="F6" i="2"/>
  <c r="G11" i="2"/>
  <c r="G4" i="2"/>
  <c r="G13" i="2" s="1"/>
  <c r="G10" i="2"/>
  <c r="G9" i="2"/>
  <c r="G12" i="2"/>
  <c r="F4" i="2"/>
  <c r="F13" i="2" s="1"/>
  <c r="G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valueMetadata count="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</valueMetadata>
</metadata>
</file>

<file path=xl/sharedStrings.xml><?xml version="1.0" encoding="utf-8"?>
<sst xmlns="http://schemas.openxmlformats.org/spreadsheetml/2006/main" count="843" uniqueCount="298">
  <si>
    <t>Niy</t>
  </si>
  <si>
    <t>Dhar</t>
  </si>
  <si>
    <t>Pwan ( line)</t>
  </si>
  <si>
    <t>Pawan</t>
  </si>
  <si>
    <t>179YK295MULTI - 1197</t>
  </si>
  <si>
    <t xml:space="preserve"> </t>
  </si>
  <si>
    <t>Row Labels</t>
  </si>
  <si>
    <t>Expenses</t>
  </si>
  <si>
    <t>Total Expenses</t>
  </si>
  <si>
    <t>Percentage</t>
  </si>
  <si>
    <t>Pwan ( Line)</t>
  </si>
  <si>
    <t>n</t>
  </si>
  <si>
    <t>p</t>
  </si>
  <si>
    <t>Total</t>
  </si>
  <si>
    <t>190YK214MEHROON- 1060</t>
  </si>
  <si>
    <t>393YKGREEN -360</t>
  </si>
  <si>
    <t>108YK148PINKRAY -570</t>
  </si>
  <si>
    <t>Refersment</t>
  </si>
  <si>
    <t xml:space="preserve">Machine nun </t>
  </si>
  <si>
    <t>Name</t>
  </si>
  <si>
    <r>
      <t>108YK</t>
    </r>
    <r>
      <rPr>
        <b/>
        <sz val="11"/>
        <color theme="1"/>
        <rFont val="Aptos Narrow"/>
        <family val="2"/>
        <scheme val="minor"/>
      </rPr>
      <t>148</t>
    </r>
    <r>
      <rPr>
        <sz val="11"/>
        <color theme="1"/>
        <rFont val="Aptos Narrow"/>
        <family val="2"/>
        <scheme val="minor"/>
      </rPr>
      <t>PINKRAY -570</t>
    </r>
  </si>
  <si>
    <t>Sirajuddin S/O Idrish</t>
  </si>
  <si>
    <t>Saiyad Ali S/O Pharjul Ali</t>
  </si>
  <si>
    <t>Ramkeval S/o Sukhraj</t>
  </si>
  <si>
    <t>Tasawwar S/O Hadish</t>
  </si>
  <si>
    <t>Jibrail S/o Karamullah</t>
  </si>
  <si>
    <t>Pakruddin S/o Havib</t>
  </si>
  <si>
    <t>Asalam S/O Shaheed</t>
  </si>
  <si>
    <t>Khiru Ram S/o Ramnand</t>
  </si>
  <si>
    <t>Raju Kumar</t>
  </si>
  <si>
    <t>Mohammad Haneef S/o Ibrahim</t>
  </si>
  <si>
    <t>Samsuddin S/O Peermohammad</t>
  </si>
  <si>
    <t>Harish Chandra S/O Lakhan</t>
  </si>
  <si>
    <t>Hosamudadeen S/o Abidaali</t>
  </si>
  <si>
    <t>Counts</t>
  </si>
  <si>
    <t>1373YKPINK - 3644</t>
  </si>
  <si>
    <t>Sum of 1373YKPINK -2585</t>
  </si>
  <si>
    <t>AK-140YELLOW</t>
  </si>
  <si>
    <t>AK-141PINK</t>
  </si>
  <si>
    <t>Total  Expenses style</t>
  </si>
  <si>
    <t>Pawan (line)</t>
  </si>
  <si>
    <t>1414YKGREY-420</t>
  </si>
  <si>
    <t>Sum of 1414YKGREY - 345</t>
  </si>
  <si>
    <t>1777YKOFFWHITE</t>
  </si>
  <si>
    <t>Sum of 1777YKOFFWHITE-347</t>
  </si>
  <si>
    <t>1488YKWHITE</t>
  </si>
  <si>
    <t>Sum of 1488YKWHITE - 1161</t>
  </si>
  <si>
    <t>Pawan Helper</t>
  </si>
  <si>
    <t>Sum of 1516YKRED-1034</t>
  </si>
  <si>
    <t>Sum of 1251YKMAROON-1019</t>
  </si>
  <si>
    <t xml:space="preserve">Total  Expenses </t>
  </si>
  <si>
    <t>1488-1219</t>
  </si>
  <si>
    <t>Sum of 1488</t>
  </si>
  <si>
    <t>1903YKPISTAGREEN</t>
  </si>
  <si>
    <t>Sum of 1903YKPISTAGREEN - 784</t>
  </si>
  <si>
    <t>1473YKWHITE - 340</t>
  </si>
  <si>
    <t>Sum of 1473YKWHITE - 340</t>
  </si>
  <si>
    <t>Total Expense</t>
  </si>
  <si>
    <t>1572YKBLUE - 512</t>
  </si>
  <si>
    <t>Sum of 1572YKBLUE - 512</t>
  </si>
  <si>
    <t>314KD411RED-220</t>
  </si>
  <si>
    <t>Sum of 314KD411RED-220</t>
  </si>
  <si>
    <t>1395YKBLUE - 616</t>
  </si>
  <si>
    <t>Sum of 1395YKBLUE - 616</t>
  </si>
  <si>
    <t>289YK345YELLOW - 896</t>
  </si>
  <si>
    <t>Sum of 289YK345YELLOW - 896</t>
  </si>
  <si>
    <t>Sum of 1894YKDGREEN-612</t>
  </si>
  <si>
    <t>1376YKMULTI -434</t>
  </si>
  <si>
    <t>Sum of 1376YKMULTI -434</t>
  </si>
  <si>
    <t>1507YKPINK-300</t>
  </si>
  <si>
    <t>Sum of 1507YKPINK-300</t>
  </si>
  <si>
    <t>1330YKBLUE-902</t>
  </si>
  <si>
    <t>Sum of 1330YKBLUE-902</t>
  </si>
  <si>
    <t>1112 Black -1066</t>
  </si>
  <si>
    <t>Sum of 1112 Black -1066</t>
  </si>
  <si>
    <t>224YK148BNDJ-1063</t>
  </si>
  <si>
    <t>Sum of 224YK148BNDJ-1063</t>
  </si>
  <si>
    <t>1556YKGREEN - 1683</t>
  </si>
  <si>
    <t>Sum of 1556YKGREEN - 1683</t>
  </si>
  <si>
    <t>1234OWHITE-990</t>
  </si>
  <si>
    <t>Sum of 1234OWHITE-990</t>
  </si>
  <si>
    <t>1904YKPINK - 726</t>
  </si>
  <si>
    <t>Sum of 1904YKPINK - 726</t>
  </si>
  <si>
    <t>1572YKBLUE - 530</t>
  </si>
  <si>
    <t>1895YKDGREY - 610</t>
  </si>
  <si>
    <t>Sum of 1895YKDGREY - 610</t>
  </si>
  <si>
    <t>1488YKWHITE - 822</t>
  </si>
  <si>
    <t>Sum of 1488YKWHITE - 822</t>
  </si>
  <si>
    <t>Sum of 1577YKPINK-833</t>
  </si>
  <si>
    <t>1472YKGREEN - 1106</t>
  </si>
  <si>
    <t>Sum of 1472YKGREEN - 1106</t>
  </si>
  <si>
    <t>Sum of 1585YKPINK -538</t>
  </si>
  <si>
    <t>225YK148OWHITE - 443</t>
  </si>
  <si>
    <t>Sum of 225YK148OWHITE - 443</t>
  </si>
  <si>
    <t>1901YKBLUE-636</t>
  </si>
  <si>
    <t>Sum of 1901YKBLUE-636</t>
  </si>
  <si>
    <t>1588YKBLUE-504</t>
  </si>
  <si>
    <t>Sum of 1588YKBLUE-504</t>
  </si>
  <si>
    <t>1529YKWINE-633</t>
  </si>
  <si>
    <t>Sum of 1529YKWINE-633</t>
  </si>
  <si>
    <t>1683YKBLUE_Pant - 228</t>
  </si>
  <si>
    <t>Sum of 1683YKBLUE_Pant - 228</t>
  </si>
  <si>
    <t>1373YKPINK - 1658</t>
  </si>
  <si>
    <t>Sum of 1373YKPINK - 1658</t>
  </si>
  <si>
    <t>275YK146MULTI - 1130</t>
  </si>
  <si>
    <t>Sum of 275YK146MULTI - 1130</t>
  </si>
  <si>
    <t>1902YKGREEN-PANT-606</t>
  </si>
  <si>
    <t>Sum of 1902YKGREEN-PANT-606</t>
  </si>
  <si>
    <t>1287YKBROWN - 570</t>
  </si>
  <si>
    <t>Sum of 1287YKBROWN - 570</t>
  </si>
  <si>
    <t>311YK148BBNDJ- 240</t>
  </si>
  <si>
    <t>Sum of 311YK148BBNDJ- 240</t>
  </si>
  <si>
    <t>1379YKGREEN- +1123+165</t>
  </si>
  <si>
    <t>Sum of 1379YKGREEN- +1123+165</t>
  </si>
  <si>
    <t>1234YKOWHITE -950</t>
  </si>
  <si>
    <t>Sum of 1234YKOWHITE -950</t>
  </si>
  <si>
    <t xml:space="preserve">May </t>
  </si>
  <si>
    <t>Dharmandar</t>
  </si>
  <si>
    <t>Total Salary</t>
  </si>
  <si>
    <t>June</t>
  </si>
  <si>
    <t>July</t>
  </si>
  <si>
    <t>Pavan Ghanghoria</t>
  </si>
  <si>
    <t>Dharmendra  Kumar</t>
  </si>
  <si>
    <t>Ankit</t>
  </si>
  <si>
    <t>Shekar</t>
  </si>
  <si>
    <t>Tasauvar Ali</t>
  </si>
  <si>
    <t>Taiyab</t>
  </si>
  <si>
    <t>Aug</t>
  </si>
  <si>
    <t>Total Salary As Per Costing</t>
  </si>
  <si>
    <t>Sep</t>
  </si>
  <si>
    <t>Emp. Code:</t>
  </si>
  <si>
    <t>Dharmendra  Kumar S/o Raghuveer</t>
  </si>
  <si>
    <t>Days</t>
  </si>
  <si>
    <t>1 S</t>
  </si>
  <si>
    <t>9 M</t>
  </si>
  <si>
    <t>10 T</t>
  </si>
  <si>
    <t>11 W</t>
  </si>
  <si>
    <t>12 Th</t>
  </si>
  <si>
    <t>13 F</t>
  </si>
  <si>
    <t>14 St</t>
  </si>
  <si>
    <t>15 S</t>
  </si>
  <si>
    <t>16 M</t>
  </si>
  <si>
    <t>17 T</t>
  </si>
  <si>
    <t>18 W</t>
  </si>
  <si>
    <t>19 Th</t>
  </si>
  <si>
    <t>20 F</t>
  </si>
  <si>
    <t>21 St</t>
  </si>
  <si>
    <t>22 S</t>
  </si>
  <si>
    <t>23 M</t>
  </si>
  <si>
    <t>24 T</t>
  </si>
  <si>
    <t>25 W</t>
  </si>
  <si>
    <t>26 Th</t>
  </si>
  <si>
    <t>27 F</t>
  </si>
  <si>
    <t>28 St</t>
  </si>
  <si>
    <t>29 S</t>
  </si>
  <si>
    <t>30 M</t>
  </si>
  <si>
    <t>InTime</t>
  </si>
  <si>
    <t>08:59</t>
  </si>
  <si>
    <t>09:03</t>
  </si>
  <si>
    <t>08:58</t>
  </si>
  <si>
    <t>09:02</t>
  </si>
  <si>
    <t>09:00</t>
  </si>
  <si>
    <t>09:05</t>
  </si>
  <si>
    <t>09:10</t>
  </si>
  <si>
    <t>09:04</t>
  </si>
  <si>
    <t>08:53</t>
  </si>
  <si>
    <t>08:51</t>
  </si>
  <si>
    <t>OutTime</t>
  </si>
  <si>
    <t>16:05</t>
  </si>
  <si>
    <t>19:06</t>
  </si>
  <si>
    <t>21:08</t>
  </si>
  <si>
    <t>21:03</t>
  </si>
  <si>
    <t>21:07</t>
  </si>
  <si>
    <t>21:06</t>
  </si>
  <si>
    <t>18:44</t>
  </si>
  <si>
    <t>21:12</t>
  </si>
  <si>
    <t>21:02</t>
  </si>
  <si>
    <t>21:15</t>
  </si>
  <si>
    <t>16:32</t>
  </si>
  <si>
    <t>21:01</t>
  </si>
  <si>
    <t>16:09</t>
  </si>
  <si>
    <t>Pavan Ghanghoria S/O Lakhan ghanghoria</t>
  </si>
  <si>
    <t>08:16</t>
  </si>
  <si>
    <t>08:52</t>
  </si>
  <si>
    <t>08:50</t>
  </si>
  <si>
    <t>18:22</t>
  </si>
  <si>
    <t>19:07</t>
  </si>
  <si>
    <t>21:04</t>
  </si>
  <si>
    <t>21:09</t>
  </si>
  <si>
    <t>21:05</t>
  </si>
  <si>
    <t>21:16</t>
  </si>
  <si>
    <t>20:12</t>
  </si>
  <si>
    <t>18:40</t>
  </si>
  <si>
    <t>18:49</t>
  </si>
  <si>
    <t xml:space="preserve">Indivisible </t>
  </si>
  <si>
    <t>Dharmander</t>
  </si>
  <si>
    <t>Tasavr</t>
  </si>
  <si>
    <t>Rajan Kushwaha</t>
  </si>
  <si>
    <t>Oct.</t>
  </si>
  <si>
    <t>Sum of 190YK214MAROON- 694</t>
  </si>
  <si>
    <t>190YK214MAROON- 1714</t>
  </si>
  <si>
    <t>224YK148BNDJ-1745</t>
  </si>
  <si>
    <t>Sum of 224YK148BNDJ-1745</t>
  </si>
  <si>
    <t>1936YKWHITE- 638</t>
  </si>
  <si>
    <t>Sum of 1936YKWHITE- 638</t>
  </si>
  <si>
    <t>Sum of 1488YKWHITE- 1608</t>
  </si>
  <si>
    <t>Sum of 1127YKMAROON-782</t>
  </si>
  <si>
    <t>Sum of 1598YKBLUE- 530</t>
  </si>
  <si>
    <t>Sum of 1691YKBLUE- 555_PANT</t>
  </si>
  <si>
    <t>1488YKWHITE- 1608</t>
  </si>
  <si>
    <t>1127YKMAROON-782</t>
  </si>
  <si>
    <t>1598YKBLUE- 530</t>
  </si>
  <si>
    <t>1691YKBLUE- 555_PANT</t>
  </si>
  <si>
    <t>6007SKDSKYBLUE 308+308</t>
  </si>
  <si>
    <t>Sum of 6007SKD(PANT) 308+308</t>
  </si>
  <si>
    <t>Sum of 146YK148AZKBLU- 350</t>
  </si>
  <si>
    <t>146YK148AZKBLU- 350</t>
  </si>
  <si>
    <t>Sum of 1266YKBLUE- 600</t>
  </si>
  <si>
    <t>1266YKBLUE- 600</t>
  </si>
  <si>
    <t>Sum of 314KD411RED- 350</t>
  </si>
  <si>
    <t>314KD411RED- 350</t>
  </si>
  <si>
    <t>1777YKOFFWHITE- 626</t>
  </si>
  <si>
    <t>Sum of 1777YKOFFWHITE- 626</t>
  </si>
  <si>
    <t>1507YKPINK- 470</t>
  </si>
  <si>
    <t>Sum of 1507YKPINK- 470</t>
  </si>
  <si>
    <t>Sum of 1270YKBLUE- 622</t>
  </si>
  <si>
    <t>1270YKBLUE- 622</t>
  </si>
  <si>
    <t>Sum of 8003,8018,8019MWBLACK- 304+355+355</t>
  </si>
  <si>
    <t>Sum of 192YK251GREEN- 200</t>
  </si>
  <si>
    <t>Sum of 167YK251BLACK-384</t>
  </si>
  <si>
    <t>Sum of 166YK251BLUE- 419</t>
  </si>
  <si>
    <t>Sum of 1112YKBLACK- 580</t>
  </si>
  <si>
    <t>Sum of 1585YKPINK- 376</t>
  </si>
  <si>
    <t>Sum of 1576YKGREEN - 838</t>
  </si>
  <si>
    <t>1576YKGREEN - 838</t>
  </si>
  <si>
    <t>1585YKPINK- 376</t>
  </si>
  <si>
    <t>Sum of 1491YKMAROON-548</t>
  </si>
  <si>
    <t>1491YKMAROON-548</t>
  </si>
  <si>
    <t>DPT21MULTI-788</t>
  </si>
  <si>
    <t>Sum of DPT21MULTI-788</t>
  </si>
  <si>
    <t>Sum of 5023YKBLUE-251</t>
  </si>
  <si>
    <t>5023YKBLUE-251</t>
  </si>
  <si>
    <t>Sum of 1887YKBLACK-372</t>
  </si>
  <si>
    <t>1887YKBLACK-372</t>
  </si>
  <si>
    <t>Sum of 1894YKDGREEN_Duppata</t>
  </si>
  <si>
    <t>1894YKDGREEN_Duppata</t>
  </si>
  <si>
    <t>Sum of 1637DPT24-195</t>
  </si>
  <si>
    <t>1637DPT24-195</t>
  </si>
  <si>
    <t>Sum of 5014YKMAROON- 174+215</t>
  </si>
  <si>
    <t>5014YKMAROON- 174+215</t>
  </si>
  <si>
    <t>6015SKDBLACK- 160+471+471+160</t>
  </si>
  <si>
    <t>Sum of 6015SKDBLACK- 160+471+471+160</t>
  </si>
  <si>
    <t>Sum of 1889YKWHITE(Pant)</t>
  </si>
  <si>
    <t>1889YKWHITE(Pant)</t>
  </si>
  <si>
    <t>Sum of 1809YKDYELLOW_Pant</t>
  </si>
  <si>
    <t>Sum of 1751YKMUSTARD_Pant</t>
  </si>
  <si>
    <t>1751YKMUSTARD_Pant</t>
  </si>
  <si>
    <t>Sum of 1260YKTEAL-596</t>
  </si>
  <si>
    <t>1260YKTEAL-596</t>
  </si>
  <si>
    <t>Sum of 1915,16,17,18YKBLACK-1948</t>
  </si>
  <si>
    <t>1915,16,17,18YKBLACK-1948</t>
  </si>
  <si>
    <t>Sum of 1220YKWHITE_Pant</t>
  </si>
  <si>
    <t>1220YKWHITE_Pant</t>
  </si>
  <si>
    <t>Sum of 190YK214MAROON- 694+1020</t>
  </si>
  <si>
    <t>190YK214MAROON- 694+1020</t>
  </si>
  <si>
    <t>Sum of 237YK345PINK-1830</t>
  </si>
  <si>
    <t>237YK345PINK-1830</t>
  </si>
  <si>
    <t>Sum of 1472YKGREEN (Pant) - 920</t>
  </si>
  <si>
    <t>1472YKGREEN (Pant) - 920</t>
  </si>
  <si>
    <t>Sum of 1065YKBLUE- 1105</t>
  </si>
  <si>
    <t>1065YKBLUE- 1105</t>
  </si>
  <si>
    <t>Sum of 165YK251MUSTRAD- 308+803+482+1430</t>
  </si>
  <si>
    <t>165YK251MUSTRAD- 308+803+482+1430</t>
  </si>
  <si>
    <t>Sum of 1602YKLAVENDER- 1490</t>
  </si>
  <si>
    <t>1602YKLAVENDER- 1490</t>
  </si>
  <si>
    <t>Sum of 6008SKDORANGE- 320</t>
  </si>
  <si>
    <t>6008SKDORANGE- 320</t>
  </si>
  <si>
    <t>Sum of 5007YKBLACK- 968</t>
  </si>
  <si>
    <t>5007YKBLACK- 968</t>
  </si>
  <si>
    <t>Sum of 295YK148CHECKS- 456</t>
  </si>
  <si>
    <t>295YK148CHECKS- 456</t>
  </si>
  <si>
    <t>Sum of 1941YKMUSTARD- 686</t>
  </si>
  <si>
    <t>1941YKMUSTARD- 686</t>
  </si>
  <si>
    <t>Sum of 1758YKPINK- 629</t>
  </si>
  <si>
    <t>1758YKPINK- 629</t>
  </si>
  <si>
    <t>Sum of 1817YKPURPLE- 380+380</t>
  </si>
  <si>
    <t>1817YKPURPLE- 380+380</t>
  </si>
  <si>
    <t>9YK148BLACK- +460+460+20</t>
  </si>
  <si>
    <t>Sum of 9YK148BLACK- +460+460+20</t>
  </si>
  <si>
    <t>Nov</t>
  </si>
  <si>
    <t>Sum of 5037YKPINK-364</t>
  </si>
  <si>
    <t>5037YKPINK-364</t>
  </si>
  <si>
    <t>Sum of 1777YKOFFWHITE-912</t>
  </si>
  <si>
    <t>1777YKOFFWHITE+840+72</t>
  </si>
  <si>
    <t>Sum of 1127YKMAROON -530</t>
  </si>
  <si>
    <t>1127YKMAROON -530</t>
  </si>
  <si>
    <t>Sum of 1375YKMUSTARD- 278</t>
  </si>
  <si>
    <t>1375YKMUSTARD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</si>
</sst>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/mm\/yyyy"/>
    <numFmt numFmtId="166" formatCode="[$-14009]dd/mm/yyyy;@"/>
    <numFmt numFmtId="167" formatCode="[$-F800]dddd\,\ mmmm\ dd\,\ 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6.95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/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/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wrapText="1"/>
    </xf>
  </cellStyleXfs>
  <cellXfs count="67">
    <xf numFmtId="0" fontId="0" fillId="0" borderId="0" xfId="0"/>
    <xf numFmtId="0" fontId="1" fillId="0" borderId="1" xfId="0" applyFont="1" applyBorder="1"/>
    <xf numFmtId="0" fontId="0" fillId="2" borderId="0" xfId="0" applyFill="1"/>
    <xf numFmtId="14" fontId="1" fillId="0" borderId="1" xfId="0" applyNumberFormat="1" applyFont="1" applyBorder="1"/>
    <xf numFmtId="2" fontId="0" fillId="0" borderId="1" xfId="0" applyNumberFormat="1" applyBorder="1"/>
    <xf numFmtId="0" fontId="2" fillId="0" borderId="1" xfId="0" applyFont="1" applyBorder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1" fillId="3" borderId="2" xfId="0" applyFont="1" applyFill="1" applyBorder="1"/>
    <xf numFmtId="164" fontId="0" fillId="0" borderId="0" xfId="0" applyNumberFormat="1"/>
    <xf numFmtId="0" fontId="1" fillId="3" borderId="0" xfId="0" applyFont="1" applyFill="1"/>
    <xf numFmtId="0" fontId="1" fillId="0" borderId="0" xfId="0" applyFont="1"/>
    <xf numFmtId="1" fontId="0" fillId="0" borderId="0" xfId="0" applyNumberFormat="1"/>
    <xf numFmtId="14" fontId="0" fillId="0" borderId="3" xfId="0" applyNumberFormat="1" applyBorder="1" applyAlignment="1">
      <alignment horizontal="left"/>
    </xf>
    <xf numFmtId="2" fontId="0" fillId="0" borderId="3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4" borderId="1" xfId="0" applyFill="1" applyBorder="1"/>
    <xf numFmtId="14" fontId="1" fillId="4" borderId="1" xfId="0" applyNumberFormat="1" applyFont="1" applyFill="1" applyBorder="1"/>
    <xf numFmtId="0" fontId="1" fillId="4" borderId="0" xfId="0" applyFont="1" applyFill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2" fontId="1" fillId="0" borderId="0" xfId="0" applyNumberFormat="1" applyFont="1"/>
    <xf numFmtId="0" fontId="1" fillId="6" borderId="0" xfId="0" applyFont="1" applyFill="1"/>
    <xf numFmtId="2" fontId="0" fillId="0" borderId="4" xfId="0" applyNumberFormat="1" applyBorder="1"/>
    <xf numFmtId="0" fontId="0" fillId="0" borderId="4" xfId="0" applyBorder="1"/>
    <xf numFmtId="0" fontId="0" fillId="6" borderId="0" xfId="0" applyFill="1"/>
    <xf numFmtId="14" fontId="0" fillId="0" borderId="4" xfId="0" applyNumberFormat="1" applyBorder="1" applyAlignment="1">
      <alignment horizontal="left"/>
    </xf>
    <xf numFmtId="0" fontId="0" fillId="7" borderId="0" xfId="0" applyFill="1"/>
    <xf numFmtId="14" fontId="0" fillId="0" borderId="0" xfId="0" applyNumberFormat="1"/>
    <xf numFmtId="14" fontId="0" fillId="0" borderId="3" xfId="0" applyNumberFormat="1" applyBorder="1"/>
    <xf numFmtId="14" fontId="0" fillId="0" borderId="0" xfId="0" applyNumberFormat="1" applyAlignment="1">
      <alignment horizontal="left" indent="1"/>
    </xf>
    <xf numFmtId="14" fontId="0" fillId="0" borderId="4" xfId="0" applyNumberFormat="1" applyBorder="1" applyAlignment="1">
      <alignment horizontal="left" indent="1"/>
    </xf>
    <xf numFmtId="2" fontId="1" fillId="0" borderId="4" xfId="0" applyNumberFormat="1" applyFont="1" applyBorder="1"/>
    <xf numFmtId="1" fontId="0" fillId="0" borderId="4" xfId="0" applyNumberFormat="1" applyBorder="1"/>
    <xf numFmtId="165" fontId="0" fillId="0" borderId="0" xfId="0" applyNumberFormat="1" applyAlignment="1">
      <alignment horizontal="left" indent="1"/>
    </xf>
    <xf numFmtId="165" fontId="0" fillId="0" borderId="4" xfId="0" applyNumberFormat="1" applyBorder="1" applyAlignment="1">
      <alignment horizontal="left" indent="1"/>
    </xf>
    <xf numFmtId="14" fontId="1" fillId="0" borderId="0" xfId="0" applyNumberFormat="1" applyFont="1"/>
    <xf numFmtId="14" fontId="0" fillId="2" borderId="0" xfId="0" applyNumberFormat="1" applyFill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8" fillId="0" borderId="5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20" fontId="6" fillId="0" borderId="8" xfId="0" applyNumberFormat="1" applyFont="1" applyBorder="1" applyAlignment="1">
      <alignment vertical="top" wrapText="1"/>
    </xf>
    <xf numFmtId="20" fontId="6" fillId="0" borderId="11" xfId="0" applyNumberFormat="1" applyFont="1" applyBorder="1" applyAlignment="1">
      <alignment vertical="top" wrapText="1"/>
    </xf>
    <xf numFmtId="20" fontId="6" fillId="0" borderId="12" xfId="0" applyNumberFormat="1" applyFont="1" applyBorder="1" applyAlignment="1">
      <alignment horizontal="center" vertical="top" wrapText="1"/>
    </xf>
    <xf numFmtId="14" fontId="0" fillId="8" borderId="0" xfId="0" applyNumberFormat="1" applyFill="1"/>
    <xf numFmtId="1" fontId="1" fillId="0" borderId="0" xfId="0" applyNumberFormat="1" applyFont="1"/>
    <xf numFmtId="166" fontId="0" fillId="0" borderId="0" xfId="0" applyNumberFormat="1" applyAlignment="1">
      <alignment horizontal="left" indent="1"/>
    </xf>
    <xf numFmtId="0" fontId="0" fillId="8" borderId="0" xfId="0" applyFill="1"/>
    <xf numFmtId="0" fontId="0" fillId="10" borderId="0" xfId="0" applyFill="1"/>
    <xf numFmtId="167" fontId="0" fillId="0" borderId="0" xfId="0" applyNumberFormat="1"/>
    <xf numFmtId="167" fontId="0" fillId="8" borderId="0" xfId="0" applyNumberFormat="1" applyFill="1"/>
    <xf numFmtId="167" fontId="0" fillId="9" borderId="0" xfId="0" applyNumberFormat="1" applyFill="1"/>
    <xf numFmtId="167" fontId="0" fillId="10" borderId="0" xfId="0" applyNumberFormat="1" applyFill="1"/>
    <xf numFmtId="0" fontId="1" fillId="8" borderId="0" xfId="0" applyFont="1" applyFill="1"/>
    <xf numFmtId="2" fontId="0" fillId="8" borderId="0" xfId="0" applyNumberFormat="1" applyFill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</cellXfs>
  <cellStyles count="3">
    <cellStyle name="Normal" xfId="0" builtinId="0"/>
    <cellStyle name="Normal 2" xfId="1" xr:uid="{FCB4E3FE-66D9-4423-9B20-A348096371F8}"/>
    <cellStyle name="Normal 3" xfId="2" xr:uid="{9FA541ED-C59E-45A8-907A-DFDAAACEC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">
  <rv s="0">
    <v>12</v>
    <v>E12</v>
    <v>0</v>
  </rv>
  <rv s="0">
    <v>12</v>
    <v>F12</v>
    <v>0</v>
  </rv>
  <rv s="0">
    <v>12</v>
    <v>G12</v>
    <v>0</v>
  </rv>
  <rv s="0">
    <v>12</v>
    <v>H12</v>
    <v>0</v>
  </rv>
  <rv s="0">
    <v>12</v>
    <v>E24</v>
    <v>0</v>
  </rv>
  <rv s="0">
    <v>12</v>
    <v>F24</v>
    <v>0</v>
  </rv>
  <rv s="0">
    <v>12</v>
    <v>G24</v>
    <v>0</v>
  </rv>
  <rv s="0">
    <v>12</v>
    <v>H24</v>
    <v>0</v>
  </rv>
  <rv s="0">
    <v>12</v>
    <v>E43</v>
    <v>0</v>
  </rv>
  <rv s="0">
    <v>12</v>
    <v>F43</v>
    <v>0</v>
  </rv>
  <rv s="0">
    <v>12</v>
    <v>G43</v>
    <v>0</v>
  </rv>
  <rv s="0">
    <v>12</v>
    <v>H43</v>
    <v>0</v>
  </rv>
  <rv s="0">
    <v>12</v>
    <v>E59</v>
    <v>0</v>
  </rv>
  <rv s="0">
    <v>12</v>
    <v>F59</v>
    <v>0</v>
  </rv>
  <rv s="0">
    <v>12</v>
    <v>G59</v>
    <v>0</v>
  </rv>
  <rv s="0">
    <v>12</v>
    <v>H59</v>
    <v>0</v>
  </rv>
  <rv s="0">
    <v>12</v>
    <v>D72</v>
    <v>0</v>
  </rv>
  <rv s="1">
    <v>12</v>
    <v>1</v>
  </rv>
  <rv s="0">
    <v>12</v>
    <v>D73</v>
    <v>0</v>
  </rv>
  <rv s="0">
    <v>12</v>
    <v>D74</v>
    <v>0</v>
  </rv>
  <rv s="0">
    <v>12</v>
    <v>D75</v>
    <v>0</v>
  </rv>
  <rv s="0">
    <v>12</v>
    <v>D76</v>
    <v>0</v>
  </rv>
  <rv s="0">
    <v>12</v>
    <v>D77</v>
    <v>0</v>
  </rv>
  <rv s="0">
    <v>12</v>
    <v>D78</v>
    <v>0</v>
  </rv>
  <rv s="0">
    <v>12</v>
    <v>D79</v>
    <v>0</v>
  </rv>
  <rv s="0">
    <v>12</v>
    <v>D80</v>
    <v>0</v>
  </rv>
  <rv s="0">
    <v>12</v>
    <v>D81</v>
    <v>0</v>
  </rv>
  <rv s="0">
    <v>12</v>
    <v>D82</v>
    <v>0</v>
  </rv>
  <rv s="0">
    <v>12</v>
    <v>D83</v>
    <v>0</v>
  </rv>
  <rv s="0">
    <v>12</v>
    <v>D84</v>
    <v>0</v>
  </rv>
  <rv s="0">
    <v>12</v>
    <v>D85</v>
    <v>0</v>
  </rv>
  <rv s="0">
    <v>12</v>
    <v>O85</v>
    <v>0</v>
  </rv>
  <rv s="0">
    <v>12</v>
    <v>P85</v>
    <v>0</v>
  </rv>
  <rv s="0">
    <v>12</v>
    <v>Q85</v>
    <v>0</v>
  </rv>
  <rv s="0">
    <v>12</v>
    <v>R85</v>
    <v>0</v>
  </rv>
</rvData>
</file>

<file path=xl/richData/rdrichvaluestructure.xml><?xml version="1.0" encoding="utf-8"?>
<rvStructures xmlns="http://schemas.microsoft.com/office/spreadsheetml/2017/richdata" count="2">
  <s t="_error">
    <k n="errorType" t="i"/>
    <k n="field" t="s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B088-8603-4A13-9301-B5A28C707150}">
  <sheetPr>
    <pageSetUpPr fitToPage="1"/>
  </sheetPr>
  <dimension ref="A1:T1710"/>
  <sheetViews>
    <sheetView tabSelected="1" topLeftCell="A1677" zoomScaleNormal="100" workbookViewId="0">
      <selection activeCell="H1696" sqref="H1696:H1710"/>
    </sheetView>
  </sheetViews>
  <sheetFormatPr defaultRowHeight="15" x14ac:dyDescent="0.25"/>
  <cols>
    <col min="1" max="1" width="24.5703125" bestFit="1" customWidth="1"/>
    <col min="2" max="2" width="30.7109375" bestFit="1" customWidth="1"/>
    <col min="3" max="3" width="19.140625" bestFit="1" customWidth="1"/>
    <col min="4" max="4" width="12.5703125" bestFit="1" customWidth="1"/>
    <col min="5" max="5" width="19.140625" bestFit="1" customWidth="1"/>
    <col min="6" max="6" width="14.140625" bestFit="1" customWidth="1"/>
    <col min="7" max="7" width="12.5703125" bestFit="1" customWidth="1"/>
    <col min="8" max="8" width="9.5703125" bestFit="1" customWidth="1"/>
    <col min="9" max="9" width="11.85546875" bestFit="1" customWidth="1"/>
    <col min="11" max="11" width="11.85546875" bestFit="1" customWidth="1"/>
    <col min="14" max="14" width="11.42578125" bestFit="1" customWidth="1"/>
    <col min="15" max="15" width="13.42578125" bestFit="1" customWidth="1"/>
    <col min="16" max="17" width="11.5703125" bestFit="1" customWidth="1"/>
    <col min="18" max="18" width="13.85546875" bestFit="1" customWidth="1"/>
    <col min="19" max="19" width="30.5703125" bestFit="1" customWidth="1"/>
    <col min="20" max="20" width="21.140625" bestFit="1" customWidth="1"/>
  </cols>
  <sheetData>
    <row r="1" spans="1:20" x14ac:dyDescent="0.25">
      <c r="J1" t="s">
        <v>0</v>
      </c>
      <c r="K1">
        <v>25000</v>
      </c>
      <c r="L1" t="s">
        <v>1</v>
      </c>
      <c r="M1">
        <v>26000</v>
      </c>
      <c r="N1" t="s">
        <v>2</v>
      </c>
      <c r="O1">
        <v>15000</v>
      </c>
      <c r="P1" t="s">
        <v>3</v>
      </c>
      <c r="Q1">
        <v>300</v>
      </c>
    </row>
    <row r="2" spans="1:20" x14ac:dyDescent="0.25">
      <c r="A2" s="11" t="s">
        <v>4</v>
      </c>
      <c r="K2" t="s">
        <v>5</v>
      </c>
      <c r="N2" t="s">
        <v>5</v>
      </c>
      <c r="Q2" t="s">
        <v>5</v>
      </c>
    </row>
    <row r="3" spans="1:20" x14ac:dyDescent="0.25">
      <c r="A3" s="8" t="s">
        <v>6</v>
      </c>
      <c r="B3" s="8" t="s">
        <v>7</v>
      </c>
      <c r="C3" s="8" t="s">
        <v>8</v>
      </c>
      <c r="D3" s="10" t="s">
        <v>9</v>
      </c>
      <c r="E3" t="s">
        <v>0</v>
      </c>
      <c r="F3" s="10" t="s">
        <v>1</v>
      </c>
      <c r="G3" s="10" t="s">
        <v>10</v>
      </c>
      <c r="H3" s="10" t="s">
        <v>3</v>
      </c>
      <c r="J3" t="s">
        <v>3</v>
      </c>
      <c r="K3" t="s">
        <v>0</v>
      </c>
      <c r="L3" t="s">
        <v>1</v>
      </c>
      <c r="M3" t="s">
        <v>3</v>
      </c>
      <c r="O3" t="s">
        <v>5</v>
      </c>
      <c r="S3" t="s">
        <v>11</v>
      </c>
      <c r="T3" t="s">
        <v>12</v>
      </c>
    </row>
    <row r="4" spans="1:20" x14ac:dyDescent="0.25">
      <c r="A4" s="6">
        <v>45749</v>
      </c>
      <c r="B4" s="7">
        <v>2308.75</v>
      </c>
      <c r="C4" s="7">
        <v>16297</v>
      </c>
      <c r="D4" s="7">
        <f>+B4/C4*100</f>
        <v>14.166717800822237</v>
      </c>
      <c r="E4">
        <f>+ROUND(K4/100*D4,0)</f>
        <v>127</v>
      </c>
      <c r="F4" s="9">
        <f>+L4/100*D4</f>
        <v>89.250322145180093</v>
      </c>
      <c r="G4" s="9">
        <f>+M4/100*D4</f>
        <v>81.741961710744306</v>
      </c>
      <c r="H4" s="9">
        <f>+J4/100*D4</f>
        <v>0</v>
      </c>
      <c r="J4">
        <v>0</v>
      </c>
      <c r="K4">
        <v>893</v>
      </c>
      <c r="L4">
        <v>630</v>
      </c>
      <c r="M4">
        <v>577</v>
      </c>
      <c r="S4">
        <v>9</v>
      </c>
      <c r="T4">
        <v>15</v>
      </c>
    </row>
    <row r="5" spans="1:20" x14ac:dyDescent="0.25">
      <c r="A5" s="6">
        <v>45750</v>
      </c>
      <c r="B5" s="7">
        <v>10375</v>
      </c>
      <c r="C5" s="7">
        <v>17812.25</v>
      </c>
      <c r="D5" s="7">
        <f t="shared" ref="D5:D12" si="0">+B5/C5*100</f>
        <v>58.24643152886356</v>
      </c>
      <c r="E5">
        <f t="shared" ref="E5:E12" si="1">+ROUND(K5/100*D5,0)</f>
        <v>520</v>
      </c>
      <c r="F5" s="9">
        <f t="shared" ref="F5:F12" si="2">+L5/100*D5</f>
        <v>366.95251863184041</v>
      </c>
      <c r="G5" s="9">
        <f t="shared" ref="G5:G12" si="3">+M5/100*D5</f>
        <v>336.08190992154272</v>
      </c>
      <c r="H5" s="9">
        <f t="shared" ref="H5:H12" si="4">+J5/100*D5</f>
        <v>0</v>
      </c>
      <c r="J5">
        <v>0</v>
      </c>
      <c r="K5">
        <v>893</v>
      </c>
      <c r="L5">
        <v>630</v>
      </c>
      <c r="M5">
        <v>577</v>
      </c>
      <c r="S5">
        <v>13</v>
      </c>
    </row>
    <row r="6" spans="1:20" x14ac:dyDescent="0.25">
      <c r="A6" s="6">
        <v>45751</v>
      </c>
      <c r="B6" s="7">
        <v>13290</v>
      </c>
      <c r="C6" s="7">
        <v>21612</v>
      </c>
      <c r="D6" s="7">
        <f t="shared" si="0"/>
        <v>61.493614658523043</v>
      </c>
      <c r="E6">
        <f t="shared" si="1"/>
        <v>549</v>
      </c>
      <c r="F6" s="9">
        <f t="shared" si="2"/>
        <v>387.40977234869518</v>
      </c>
      <c r="G6" s="9">
        <f t="shared" si="3"/>
        <v>354.81815657967792</v>
      </c>
      <c r="H6" s="9">
        <f t="shared" si="4"/>
        <v>184.48084397556914</v>
      </c>
      <c r="J6">
        <v>300</v>
      </c>
      <c r="K6">
        <v>893</v>
      </c>
      <c r="L6">
        <v>630</v>
      </c>
      <c r="M6">
        <v>577</v>
      </c>
    </row>
    <row r="7" spans="1:20" x14ac:dyDescent="0.25">
      <c r="A7" s="6">
        <v>45752</v>
      </c>
      <c r="B7" s="7">
        <v>9753.75</v>
      </c>
      <c r="C7" s="7">
        <v>21954</v>
      </c>
      <c r="D7" s="7">
        <f t="shared" si="0"/>
        <v>44.428122437824541</v>
      </c>
      <c r="E7">
        <f t="shared" si="1"/>
        <v>397</v>
      </c>
      <c r="F7" s="9">
        <f t="shared" si="2"/>
        <v>279.8971713582946</v>
      </c>
      <c r="G7" s="9">
        <f t="shared" si="3"/>
        <v>256.3502664662476</v>
      </c>
      <c r="H7" s="9">
        <f t="shared" si="4"/>
        <v>133.28436731347364</v>
      </c>
      <c r="J7">
        <v>300</v>
      </c>
      <c r="K7">
        <v>893</v>
      </c>
      <c r="L7">
        <v>630</v>
      </c>
      <c r="M7">
        <v>577</v>
      </c>
    </row>
    <row r="8" spans="1:20" x14ac:dyDescent="0.25">
      <c r="A8" s="6">
        <v>45753</v>
      </c>
      <c r="B8" s="7">
        <v>5408.333333333333</v>
      </c>
      <c r="C8" s="7">
        <v>15988.571428571428</v>
      </c>
      <c r="D8" s="7">
        <f t="shared" si="0"/>
        <v>33.826244936859659</v>
      </c>
      <c r="E8">
        <f t="shared" si="1"/>
        <v>302</v>
      </c>
      <c r="F8" s="9">
        <f t="shared" si="2"/>
        <v>213.10534310221584</v>
      </c>
      <c r="G8" s="9">
        <f t="shared" si="3"/>
        <v>0</v>
      </c>
      <c r="H8" s="9">
        <f t="shared" si="4"/>
        <v>101.47873481057897</v>
      </c>
      <c r="J8">
        <v>300</v>
      </c>
      <c r="K8">
        <v>893</v>
      </c>
      <c r="L8">
        <v>630</v>
      </c>
      <c r="M8">
        <v>0</v>
      </c>
    </row>
    <row r="9" spans="1:20" x14ac:dyDescent="0.25">
      <c r="A9" s="6">
        <v>45754</v>
      </c>
      <c r="B9" s="7">
        <v>2963.75</v>
      </c>
      <c r="C9" s="7">
        <v>20359.388888888891</v>
      </c>
      <c r="D9" s="7">
        <f t="shared" si="0"/>
        <v>14.557165817572562</v>
      </c>
      <c r="E9">
        <f t="shared" si="1"/>
        <v>130</v>
      </c>
      <c r="F9" s="9">
        <f t="shared" si="2"/>
        <v>91.710144650707136</v>
      </c>
      <c r="G9" s="9">
        <f t="shared" si="3"/>
        <v>83.994846767393682</v>
      </c>
      <c r="H9" s="9">
        <f t="shared" si="4"/>
        <v>43.671497452717688</v>
      </c>
      <c r="J9">
        <v>300</v>
      </c>
      <c r="K9">
        <v>893</v>
      </c>
      <c r="L9">
        <v>630</v>
      </c>
      <c r="M9">
        <v>577</v>
      </c>
    </row>
    <row r="10" spans="1:20" x14ac:dyDescent="0.25">
      <c r="A10" s="6">
        <v>45755</v>
      </c>
      <c r="B10" s="7">
        <v>1243.75</v>
      </c>
      <c r="C10" s="7">
        <v>21300.2</v>
      </c>
      <c r="D10" s="7">
        <f t="shared" si="0"/>
        <v>5.8391470502624383</v>
      </c>
      <c r="E10">
        <f t="shared" si="1"/>
        <v>52</v>
      </c>
      <c r="F10" s="9">
        <f t="shared" si="2"/>
        <v>36.786626416653363</v>
      </c>
      <c r="G10" s="9">
        <f t="shared" si="3"/>
        <v>33.691878480014267</v>
      </c>
      <c r="H10" s="9">
        <f t="shared" si="4"/>
        <v>17.517441150787313</v>
      </c>
      <c r="J10">
        <v>300</v>
      </c>
      <c r="K10">
        <v>893</v>
      </c>
      <c r="L10">
        <v>630</v>
      </c>
      <c r="M10">
        <v>577</v>
      </c>
    </row>
    <row r="11" spans="1:20" x14ac:dyDescent="0.25">
      <c r="A11" s="6">
        <v>45756</v>
      </c>
      <c r="B11" s="7">
        <v>605</v>
      </c>
      <c r="C11" s="7">
        <v>20744</v>
      </c>
      <c r="D11" s="7">
        <f t="shared" si="0"/>
        <v>2.9165059776320867</v>
      </c>
      <c r="E11">
        <f t="shared" si="1"/>
        <v>0</v>
      </c>
      <c r="F11" s="9">
        <f t="shared" si="2"/>
        <v>18.373987659082147</v>
      </c>
      <c r="G11" s="9">
        <f t="shared" si="3"/>
        <v>16.82823949093714</v>
      </c>
      <c r="H11" s="9">
        <f t="shared" si="4"/>
        <v>0</v>
      </c>
      <c r="J11">
        <v>0</v>
      </c>
      <c r="K11">
        <v>0</v>
      </c>
      <c r="L11">
        <v>630</v>
      </c>
      <c r="M11">
        <v>577</v>
      </c>
    </row>
    <row r="12" spans="1:20" ht="15.75" thickBot="1" x14ac:dyDescent="0.3">
      <c r="A12" s="13">
        <v>45761</v>
      </c>
      <c r="B12" s="14">
        <v>250</v>
      </c>
      <c r="C12" s="14">
        <v>16912</v>
      </c>
      <c r="D12" s="14">
        <f t="shared" si="0"/>
        <v>1.478240302743614</v>
      </c>
      <c r="E12" s="15">
        <f t="shared" si="1"/>
        <v>13</v>
      </c>
      <c r="F12" s="16">
        <f t="shared" si="2"/>
        <v>9.3129139072847682</v>
      </c>
      <c r="G12" s="16">
        <f t="shared" si="3"/>
        <v>8.529446546830652</v>
      </c>
      <c r="H12" s="16">
        <f t="shared" si="4"/>
        <v>0</v>
      </c>
      <c r="J12">
        <v>0</v>
      </c>
      <c r="K12">
        <v>893</v>
      </c>
      <c r="L12">
        <v>630</v>
      </c>
      <c r="M12">
        <v>577</v>
      </c>
    </row>
    <row r="13" spans="1:20" x14ac:dyDescent="0.25">
      <c r="A13" s="19" t="s">
        <v>13</v>
      </c>
      <c r="B13" s="20"/>
      <c r="C13" s="20"/>
      <c r="D13" s="20"/>
      <c r="E13" s="21" t="e" vm="1">
        <f>SUM(_FV(E4,"E12"))</f>
        <v>#VALUE!</v>
      </c>
      <c r="F13" s="21" t="e" vm="2">
        <f>SUM(_FV(F4,"F12"))</f>
        <v>#VALUE!</v>
      </c>
      <c r="G13" s="21" t="e" vm="3">
        <f>SUM(_FV(G4,"G12"))</f>
        <v>#VALUE!</v>
      </c>
      <c r="H13" s="21" t="e" vm="4">
        <f>SUM(_FV(H4,"H12"))</f>
        <v>#VALUE!</v>
      </c>
    </row>
    <row r="17" spans="1:13" x14ac:dyDescent="0.25">
      <c r="A17" s="11" t="s">
        <v>14</v>
      </c>
    </row>
    <row r="18" spans="1:13" x14ac:dyDescent="0.25">
      <c r="A18" s="8" t="s">
        <v>6</v>
      </c>
      <c r="B18" s="8" t="s">
        <v>7</v>
      </c>
      <c r="C18" s="8" t="s">
        <v>8</v>
      </c>
      <c r="D18" s="10" t="s">
        <v>9</v>
      </c>
      <c r="E18" t="s">
        <v>0</v>
      </c>
      <c r="F18" s="10" t="s">
        <v>1</v>
      </c>
      <c r="G18" s="10" t="s">
        <v>10</v>
      </c>
      <c r="H18" s="10" t="s">
        <v>3</v>
      </c>
      <c r="J18" t="s">
        <v>3</v>
      </c>
      <c r="K18" t="s">
        <v>0</v>
      </c>
      <c r="L18" t="s">
        <v>1</v>
      </c>
      <c r="M18" t="s">
        <v>3</v>
      </c>
    </row>
    <row r="19" spans="1:13" x14ac:dyDescent="0.25">
      <c r="A19" s="6">
        <v>45755</v>
      </c>
      <c r="B19" s="7">
        <v>1885</v>
      </c>
      <c r="C19" s="7">
        <v>21300.2</v>
      </c>
      <c r="D19" s="7">
        <f t="shared" ref="D19:D24" si="5">+B19/C19*100</f>
        <v>8.8496821626088025</v>
      </c>
      <c r="E19">
        <f>+K19/100*D19</f>
        <v>79.027661712096602</v>
      </c>
      <c r="F19">
        <f>+L19/100*D19</f>
        <v>55.752997624435451</v>
      </c>
      <c r="G19">
        <f>+M19/100*D19</f>
        <v>51.062666078252789</v>
      </c>
      <c r="H19">
        <f>+J19/100*D19</f>
        <v>26.549046487826409</v>
      </c>
      <c r="J19">
        <v>300</v>
      </c>
      <c r="K19">
        <v>893</v>
      </c>
      <c r="L19">
        <v>630</v>
      </c>
      <c r="M19">
        <v>577</v>
      </c>
    </row>
    <row r="20" spans="1:13" x14ac:dyDescent="0.25">
      <c r="A20" s="6">
        <v>45756</v>
      </c>
      <c r="B20" s="7">
        <v>7696.25</v>
      </c>
      <c r="C20" s="7">
        <v>20744</v>
      </c>
      <c r="D20" s="7">
        <f t="shared" si="5"/>
        <v>37.101089471654454</v>
      </c>
      <c r="E20">
        <f t="shared" ref="E20:E24" si="6">+K20/100*D20</f>
        <v>0</v>
      </c>
      <c r="F20">
        <f t="shared" ref="F20:F24" si="7">+L20/100*D20</f>
        <v>233.73686367142307</v>
      </c>
      <c r="G20">
        <f t="shared" ref="G20:G24" si="8">+M20/100*D20</f>
        <v>214.07328625144618</v>
      </c>
      <c r="H20">
        <f t="shared" ref="H20:H24" si="9">+J20/100*D20</f>
        <v>0</v>
      </c>
      <c r="J20">
        <v>0</v>
      </c>
      <c r="K20">
        <v>0</v>
      </c>
      <c r="L20">
        <v>630</v>
      </c>
      <c r="M20">
        <v>577</v>
      </c>
    </row>
    <row r="21" spans="1:13" x14ac:dyDescent="0.25">
      <c r="A21" s="6">
        <v>45757</v>
      </c>
      <c r="B21" s="7">
        <v>11050</v>
      </c>
      <c r="C21" s="7">
        <v>22158</v>
      </c>
      <c r="D21" s="7">
        <f t="shared" si="5"/>
        <v>49.869121761891869</v>
      </c>
      <c r="E21">
        <f t="shared" si="6"/>
        <v>445.3312573336944</v>
      </c>
      <c r="F21">
        <f t="shared" si="7"/>
        <v>314.17546709991876</v>
      </c>
      <c r="G21">
        <f t="shared" si="8"/>
        <v>287.74483256611609</v>
      </c>
      <c r="H21">
        <f t="shared" si="9"/>
        <v>149.6073652856756</v>
      </c>
      <c r="J21">
        <v>300</v>
      </c>
      <c r="K21">
        <v>893</v>
      </c>
      <c r="L21">
        <v>630</v>
      </c>
      <c r="M21">
        <v>577</v>
      </c>
    </row>
    <row r="22" spans="1:13" x14ac:dyDescent="0.25">
      <c r="A22" s="6">
        <v>45758</v>
      </c>
      <c r="B22" s="7">
        <v>12292.5</v>
      </c>
      <c r="C22" s="7">
        <v>20984.400000000001</v>
      </c>
      <c r="D22" s="7">
        <f t="shared" si="5"/>
        <v>58.579230285354832</v>
      </c>
      <c r="E22">
        <f t="shared" si="6"/>
        <v>523.11252644821866</v>
      </c>
      <c r="F22">
        <f t="shared" si="7"/>
        <v>369.04915079773542</v>
      </c>
      <c r="G22">
        <f t="shared" si="8"/>
        <v>338.00215874649734</v>
      </c>
      <c r="H22">
        <f t="shared" si="9"/>
        <v>175.73769085606449</v>
      </c>
      <c r="J22">
        <v>300</v>
      </c>
      <c r="K22">
        <v>893</v>
      </c>
      <c r="L22">
        <v>630</v>
      </c>
      <c r="M22">
        <v>577</v>
      </c>
    </row>
    <row r="23" spans="1:13" x14ac:dyDescent="0.25">
      <c r="A23" s="6">
        <v>45759</v>
      </c>
      <c r="B23" s="7">
        <v>6926.25</v>
      </c>
      <c r="C23" s="7">
        <v>15960</v>
      </c>
      <c r="D23" s="7">
        <f t="shared" si="5"/>
        <v>43.397556390977442</v>
      </c>
      <c r="E23">
        <f t="shared" si="6"/>
        <v>387.54017857142856</v>
      </c>
      <c r="F23">
        <f t="shared" si="7"/>
        <v>273.40460526315786</v>
      </c>
      <c r="G23">
        <f t="shared" si="8"/>
        <v>250.40390037593983</v>
      </c>
      <c r="H23">
        <f t="shared" si="9"/>
        <v>130.19266917293231</v>
      </c>
      <c r="J23">
        <v>300</v>
      </c>
      <c r="K23">
        <v>893</v>
      </c>
      <c r="L23">
        <v>630</v>
      </c>
      <c r="M23">
        <v>577</v>
      </c>
    </row>
    <row r="24" spans="1:13" ht="15.75" thickBot="1" x14ac:dyDescent="0.3">
      <c r="A24" s="13">
        <v>45761</v>
      </c>
      <c r="B24" s="14">
        <v>3168.75</v>
      </c>
      <c r="C24" s="14">
        <v>16912</v>
      </c>
      <c r="D24" s="14">
        <f t="shared" si="5"/>
        <v>18.736695837275306</v>
      </c>
      <c r="E24" s="15">
        <f t="shared" si="6"/>
        <v>167.31869382686847</v>
      </c>
      <c r="F24" s="15">
        <f t="shared" si="7"/>
        <v>118.04118377483442</v>
      </c>
      <c r="G24" s="15">
        <f t="shared" si="8"/>
        <v>108.11073498107851</v>
      </c>
      <c r="H24" s="15">
        <f t="shared" si="9"/>
        <v>0</v>
      </c>
      <c r="J24">
        <v>0</v>
      </c>
      <c r="K24">
        <v>893</v>
      </c>
      <c r="L24">
        <v>630</v>
      </c>
      <c r="M24">
        <v>577</v>
      </c>
    </row>
    <row r="25" spans="1:13" x14ac:dyDescent="0.25">
      <c r="A25" s="19" t="s">
        <v>13</v>
      </c>
      <c r="B25" s="20"/>
      <c r="C25" s="20"/>
      <c r="D25" s="20"/>
      <c r="E25" s="21" t="e" vm="5">
        <f>SUM(_FV(E16,"E24"))</f>
        <v>#VALUE!</v>
      </c>
      <c r="F25" s="21" t="e" vm="6">
        <f>SUM(_FV(F16,"F24"))</f>
        <v>#VALUE!</v>
      </c>
      <c r="G25" s="21" t="e" vm="7">
        <f>SUM(_FV(G16,"G24"))</f>
        <v>#VALUE!</v>
      </c>
      <c r="H25" s="21" t="e" vm="8">
        <f>SUM(_FV(H16,"H24"))</f>
        <v>#VALUE!</v>
      </c>
    </row>
    <row r="26" spans="1:13" x14ac:dyDescent="0.25">
      <c r="E26" s="12"/>
      <c r="F26" s="12"/>
      <c r="G26" s="12"/>
      <c r="H26" s="12"/>
    </row>
    <row r="28" spans="1:13" x14ac:dyDescent="0.25">
      <c r="A28" s="11" t="s">
        <v>15</v>
      </c>
    </row>
    <row r="29" spans="1:13" x14ac:dyDescent="0.25">
      <c r="A29" s="8" t="s">
        <v>6</v>
      </c>
      <c r="B29" s="8" t="s">
        <v>7</v>
      </c>
      <c r="C29" s="8" t="s">
        <v>8</v>
      </c>
      <c r="D29" s="10" t="s">
        <v>9</v>
      </c>
      <c r="E29" t="s">
        <v>0</v>
      </c>
      <c r="F29" s="10" t="s">
        <v>1</v>
      </c>
      <c r="G29" s="10" t="s">
        <v>10</v>
      </c>
      <c r="H29" s="10" t="s">
        <v>3</v>
      </c>
      <c r="J29" t="s">
        <v>3</v>
      </c>
      <c r="K29" t="s">
        <v>0</v>
      </c>
      <c r="L29" t="s">
        <v>1</v>
      </c>
      <c r="M29" t="s">
        <v>3</v>
      </c>
    </row>
    <row r="30" spans="1:13" x14ac:dyDescent="0.25">
      <c r="A30" s="6">
        <v>45743</v>
      </c>
      <c r="B30" s="7">
        <v>887.5</v>
      </c>
      <c r="C30">
        <v>15908.25</v>
      </c>
      <c r="D30" s="7">
        <f>+B30/C30*100</f>
        <v>5.5788663115050365</v>
      </c>
      <c r="E30" s="7">
        <f>+K30/100*D30</f>
        <v>49.763487498624926</v>
      </c>
      <c r="F30" s="7">
        <f>+L30/100*D30</f>
        <v>35.14685776248173</v>
      </c>
      <c r="G30" s="7">
        <f>+M30/100*D30</f>
        <v>32.190058617384061</v>
      </c>
      <c r="H30" s="7">
        <f>+J30/100*D30</f>
        <v>0</v>
      </c>
      <c r="J30">
        <v>0</v>
      </c>
      <c r="K30">
        <v>892</v>
      </c>
      <c r="L30">
        <v>630</v>
      </c>
      <c r="M30">
        <v>577</v>
      </c>
    </row>
    <row r="31" spans="1:13" x14ac:dyDescent="0.25">
      <c r="A31" s="6">
        <v>45744</v>
      </c>
      <c r="B31" s="7">
        <v>97.5</v>
      </c>
      <c r="C31">
        <v>7584.75</v>
      </c>
      <c r="D31" s="7">
        <f t="shared" ref="D31:D43" si="10">+B31/C31*100</f>
        <v>1.2854741421932165</v>
      </c>
      <c r="E31" s="7">
        <f t="shared" ref="E31:E43" si="11">+K31/100*D31</f>
        <v>11.466429348363491</v>
      </c>
      <c r="F31" s="7">
        <f t="shared" ref="F31:F43" si="12">+L31/100*D31</f>
        <v>8.0984870958172639</v>
      </c>
      <c r="G31" s="7">
        <f t="shared" ref="G31:G43" si="13">+M31/100*D31</f>
        <v>7.4171858004548588</v>
      </c>
      <c r="H31" s="7">
        <f t="shared" ref="H31:H43" si="14">+J31/100*D31</f>
        <v>0</v>
      </c>
      <c r="J31">
        <v>0</v>
      </c>
      <c r="K31">
        <v>892</v>
      </c>
      <c r="L31">
        <v>630</v>
      </c>
      <c r="M31">
        <v>577</v>
      </c>
    </row>
    <row r="32" spans="1:13" x14ac:dyDescent="0.25">
      <c r="A32" s="6">
        <v>45745</v>
      </c>
      <c r="B32" s="7">
        <v>233.75</v>
      </c>
      <c r="C32">
        <v>12632.25</v>
      </c>
      <c r="D32" s="7">
        <f t="shared" si="10"/>
        <v>1.8504225296364463</v>
      </c>
      <c r="E32" s="7">
        <f t="shared" si="11"/>
        <v>16.505768964357099</v>
      </c>
      <c r="F32" s="7">
        <f t="shared" si="12"/>
        <v>11.65766193670961</v>
      </c>
      <c r="G32" s="7">
        <f t="shared" si="13"/>
        <v>10.676937996002295</v>
      </c>
      <c r="H32" s="7">
        <f t="shared" si="14"/>
        <v>0</v>
      </c>
      <c r="J32">
        <v>0</v>
      </c>
      <c r="K32">
        <v>892</v>
      </c>
      <c r="L32">
        <v>630</v>
      </c>
      <c r="M32">
        <v>577</v>
      </c>
    </row>
    <row r="33" spans="1:20" x14ac:dyDescent="0.25">
      <c r="A33" s="6">
        <v>45748</v>
      </c>
      <c r="B33" s="7">
        <v>1456.25</v>
      </c>
      <c r="C33">
        <v>16626.75</v>
      </c>
      <c r="D33" s="7">
        <f t="shared" si="10"/>
        <v>8.7584765513404612</v>
      </c>
      <c r="E33" s="7">
        <f t="shared" si="11"/>
        <v>78.125610837956913</v>
      </c>
      <c r="F33" s="7">
        <f t="shared" si="12"/>
        <v>55.178402273444902</v>
      </c>
      <c r="G33" s="7">
        <f t="shared" si="13"/>
        <v>50.536409701234454</v>
      </c>
      <c r="H33" s="7">
        <f t="shared" si="14"/>
        <v>0</v>
      </c>
      <c r="J33">
        <v>0</v>
      </c>
      <c r="K33">
        <v>892</v>
      </c>
      <c r="L33">
        <v>630</v>
      </c>
      <c r="M33">
        <v>577</v>
      </c>
    </row>
    <row r="34" spans="1:20" x14ac:dyDescent="0.25">
      <c r="A34" s="6">
        <v>45749</v>
      </c>
      <c r="B34" s="7">
        <v>2770</v>
      </c>
      <c r="C34">
        <v>16297</v>
      </c>
      <c r="D34" s="7">
        <f t="shared" si="10"/>
        <v>16.996993311652449</v>
      </c>
      <c r="E34" s="7">
        <f t="shared" si="11"/>
        <v>151.61318033993984</v>
      </c>
      <c r="F34" s="7">
        <f t="shared" si="12"/>
        <v>107.08105786341042</v>
      </c>
      <c r="G34" s="7">
        <f t="shared" si="13"/>
        <v>98.07265140823462</v>
      </c>
      <c r="H34" s="7">
        <f t="shared" si="14"/>
        <v>0</v>
      </c>
      <c r="J34">
        <v>0</v>
      </c>
      <c r="K34">
        <v>892</v>
      </c>
      <c r="L34">
        <v>630</v>
      </c>
      <c r="M34">
        <v>577</v>
      </c>
    </row>
    <row r="35" spans="1:20" x14ac:dyDescent="0.25">
      <c r="A35" s="6">
        <v>45751</v>
      </c>
      <c r="B35" s="7">
        <v>375</v>
      </c>
      <c r="C35">
        <v>21612</v>
      </c>
      <c r="D35" s="7">
        <f t="shared" si="10"/>
        <v>1.7351471404775123</v>
      </c>
      <c r="E35" s="7">
        <f t="shared" si="11"/>
        <v>15.477512493059409</v>
      </c>
      <c r="F35" s="7">
        <f t="shared" si="12"/>
        <v>10.931426985008327</v>
      </c>
      <c r="G35" s="7">
        <f t="shared" si="13"/>
        <v>10.011799000555245</v>
      </c>
      <c r="H35" s="7">
        <f t="shared" si="14"/>
        <v>5.2054414214325373</v>
      </c>
      <c r="J35">
        <v>300</v>
      </c>
      <c r="K35">
        <v>892</v>
      </c>
      <c r="L35">
        <v>630</v>
      </c>
      <c r="M35">
        <v>577</v>
      </c>
    </row>
    <row r="36" spans="1:20" x14ac:dyDescent="0.25">
      <c r="A36" s="6">
        <v>45752</v>
      </c>
      <c r="B36" s="7">
        <v>250</v>
      </c>
      <c r="C36">
        <v>21954</v>
      </c>
      <c r="D36" s="7">
        <f t="shared" si="10"/>
        <v>1.1387446479001548</v>
      </c>
      <c r="E36" s="7">
        <f t="shared" si="11"/>
        <v>10.157602259269382</v>
      </c>
      <c r="F36" s="7">
        <f t="shared" si="12"/>
        <v>7.1740912817709752</v>
      </c>
      <c r="G36" s="7">
        <f t="shared" si="13"/>
        <v>6.5705566183838933</v>
      </c>
      <c r="H36" s="7">
        <f t="shared" si="14"/>
        <v>3.4162339437004645</v>
      </c>
      <c r="J36">
        <v>300</v>
      </c>
      <c r="K36">
        <v>892</v>
      </c>
      <c r="L36">
        <v>630</v>
      </c>
      <c r="M36">
        <v>577</v>
      </c>
    </row>
    <row r="37" spans="1:20" x14ac:dyDescent="0.25">
      <c r="A37" s="6">
        <v>45754</v>
      </c>
      <c r="B37" s="7">
        <v>3176.25</v>
      </c>
      <c r="C37">
        <v>20359.388888888891</v>
      </c>
      <c r="D37" s="7">
        <f t="shared" si="10"/>
        <v>15.600910308921081</v>
      </c>
      <c r="E37" s="7">
        <f t="shared" si="11"/>
        <v>139.16011995557605</v>
      </c>
      <c r="F37" s="7">
        <f t="shared" si="12"/>
        <v>98.285734946202808</v>
      </c>
      <c r="G37" s="7">
        <f t="shared" si="13"/>
        <v>90.017252482474632</v>
      </c>
      <c r="H37" s="7">
        <f t="shared" si="14"/>
        <v>46.802730926763246</v>
      </c>
      <c r="J37">
        <v>300</v>
      </c>
      <c r="K37">
        <v>892</v>
      </c>
      <c r="L37">
        <v>630</v>
      </c>
      <c r="M37">
        <v>577</v>
      </c>
    </row>
    <row r="38" spans="1:20" x14ac:dyDescent="0.25">
      <c r="A38" s="6">
        <v>45755</v>
      </c>
      <c r="B38" s="7">
        <v>5355</v>
      </c>
      <c r="C38">
        <v>21300.2</v>
      </c>
      <c r="D38" s="7">
        <f t="shared" si="10"/>
        <v>25.140609008366116</v>
      </c>
      <c r="E38" s="7">
        <f t="shared" si="11"/>
        <v>224.25423235462574</v>
      </c>
      <c r="F38" s="7">
        <f t="shared" si="12"/>
        <v>158.38583675270652</v>
      </c>
      <c r="G38" s="7">
        <f t="shared" si="13"/>
        <v>145.06131397827247</v>
      </c>
      <c r="H38" s="7">
        <f t="shared" si="14"/>
        <v>75.421827025098352</v>
      </c>
      <c r="J38">
        <v>300</v>
      </c>
      <c r="K38">
        <v>892</v>
      </c>
      <c r="L38">
        <v>630</v>
      </c>
      <c r="M38">
        <v>577</v>
      </c>
    </row>
    <row r="39" spans="1:20" x14ac:dyDescent="0.25">
      <c r="A39" s="6">
        <v>45756</v>
      </c>
      <c r="B39" s="7">
        <v>2298.75</v>
      </c>
      <c r="C39">
        <v>20744</v>
      </c>
      <c r="D39" s="7">
        <f t="shared" si="10"/>
        <v>11.081517547242576</v>
      </c>
      <c r="E39" s="7">
        <f t="shared" si="11"/>
        <v>0</v>
      </c>
      <c r="F39" s="7">
        <f t="shared" si="12"/>
        <v>69.813560547628228</v>
      </c>
      <c r="G39" s="7">
        <f t="shared" si="13"/>
        <v>63.940356247589662</v>
      </c>
      <c r="H39" s="7">
        <f t="shared" si="14"/>
        <v>0</v>
      </c>
      <c r="J39">
        <v>0</v>
      </c>
      <c r="K39">
        <v>0</v>
      </c>
      <c r="L39">
        <v>630</v>
      </c>
      <c r="M39">
        <v>577</v>
      </c>
    </row>
    <row r="40" spans="1:20" x14ac:dyDescent="0.25">
      <c r="A40" s="6">
        <v>45757</v>
      </c>
      <c r="B40" s="7">
        <v>930</v>
      </c>
      <c r="C40">
        <v>22158</v>
      </c>
      <c r="D40" s="7">
        <f t="shared" si="10"/>
        <v>4.1971297048470078</v>
      </c>
      <c r="E40" s="7">
        <f t="shared" si="11"/>
        <v>37.438396967235306</v>
      </c>
      <c r="F40" s="7">
        <f t="shared" si="12"/>
        <v>26.441917140536148</v>
      </c>
      <c r="G40" s="7">
        <f t="shared" si="13"/>
        <v>24.217438396967232</v>
      </c>
      <c r="H40" s="7">
        <f t="shared" si="14"/>
        <v>12.591389114541023</v>
      </c>
      <c r="J40">
        <v>300</v>
      </c>
      <c r="K40">
        <v>892</v>
      </c>
      <c r="L40">
        <v>630</v>
      </c>
      <c r="M40">
        <v>577</v>
      </c>
    </row>
    <row r="41" spans="1:20" x14ac:dyDescent="0.25">
      <c r="A41" s="6">
        <v>45758</v>
      </c>
      <c r="B41" s="7">
        <v>250</v>
      </c>
      <c r="C41">
        <v>20984.400000000001</v>
      </c>
      <c r="D41" s="7">
        <f t="shared" si="10"/>
        <v>1.1913612016545623</v>
      </c>
      <c r="E41" s="7">
        <f t="shared" si="11"/>
        <v>10.626941918758696</v>
      </c>
      <c r="F41" s="7">
        <f t="shared" si="12"/>
        <v>7.5055755704237423</v>
      </c>
      <c r="G41" s="7">
        <f t="shared" si="13"/>
        <v>6.8741541335468241</v>
      </c>
      <c r="H41" s="7">
        <f t="shared" si="14"/>
        <v>3.574083604963687</v>
      </c>
      <c r="J41">
        <v>300</v>
      </c>
      <c r="K41">
        <v>892</v>
      </c>
      <c r="L41">
        <v>630</v>
      </c>
      <c r="M41">
        <v>577</v>
      </c>
    </row>
    <row r="42" spans="1:20" x14ac:dyDescent="0.25">
      <c r="A42" s="6">
        <v>45759</v>
      </c>
      <c r="B42" s="7">
        <v>500</v>
      </c>
      <c r="C42">
        <v>15960</v>
      </c>
      <c r="D42" s="7">
        <f t="shared" si="10"/>
        <v>3.132832080200501</v>
      </c>
      <c r="E42" s="7">
        <f t="shared" si="11"/>
        <v>27.944862155388467</v>
      </c>
      <c r="F42" s="7">
        <f t="shared" si="12"/>
        <v>19.736842105263154</v>
      </c>
      <c r="G42" s="7">
        <f t="shared" si="13"/>
        <v>18.076441102756888</v>
      </c>
      <c r="H42" s="7">
        <f t="shared" si="14"/>
        <v>9.3984962406015029</v>
      </c>
      <c r="J42">
        <v>300</v>
      </c>
      <c r="K42">
        <v>892</v>
      </c>
      <c r="L42">
        <v>630</v>
      </c>
      <c r="M42">
        <v>577</v>
      </c>
    </row>
    <row r="43" spans="1:20" ht="15.75" thickBot="1" x14ac:dyDescent="0.3">
      <c r="A43" s="13">
        <v>45765</v>
      </c>
      <c r="B43" s="14">
        <v>605</v>
      </c>
      <c r="C43" s="15">
        <v>20194</v>
      </c>
      <c r="D43" s="14">
        <f t="shared" si="10"/>
        <v>2.9959393879370109</v>
      </c>
      <c r="E43" s="14">
        <f t="shared" si="11"/>
        <v>26.723779340398135</v>
      </c>
      <c r="F43" s="14">
        <f t="shared" si="12"/>
        <v>18.874418144003169</v>
      </c>
      <c r="G43" s="14">
        <f t="shared" si="13"/>
        <v>17.286570268396552</v>
      </c>
      <c r="H43" s="14">
        <f t="shared" si="14"/>
        <v>8.987818163811033</v>
      </c>
      <c r="J43">
        <v>300</v>
      </c>
      <c r="K43">
        <v>892</v>
      </c>
      <c r="L43">
        <v>630</v>
      </c>
      <c r="M43">
        <v>577</v>
      </c>
    </row>
    <row r="44" spans="1:20" x14ac:dyDescent="0.25">
      <c r="A44" s="19" t="s">
        <v>13</v>
      </c>
      <c r="B44" s="20"/>
      <c r="C44" s="20"/>
      <c r="D44" s="20"/>
      <c r="E44" s="21" t="e" vm="9">
        <f>SUM(_FV(E35,"E43"))</f>
        <v>#VALUE!</v>
      </c>
      <c r="F44" s="21" t="e" vm="10">
        <f>SUM(_FV(F35,"F43"))</f>
        <v>#VALUE!</v>
      </c>
      <c r="G44" s="21" t="e" vm="11">
        <f>SUM(_FV(G35,"G43"))</f>
        <v>#VALUE!</v>
      </c>
      <c r="H44" s="21" t="e" vm="12">
        <f>SUM(_FV(H35,"H43"))</f>
        <v>#VALUE!</v>
      </c>
    </row>
    <row r="46" spans="1:20" x14ac:dyDescent="0.25">
      <c r="A46" s="11" t="s">
        <v>16</v>
      </c>
      <c r="R46" t="s">
        <v>17</v>
      </c>
    </row>
    <row r="47" spans="1:20" x14ac:dyDescent="0.25">
      <c r="A47" s="8" t="s">
        <v>6</v>
      </c>
      <c r="B47" s="8" t="s">
        <v>7</v>
      </c>
      <c r="C47" s="8" t="s">
        <v>8</v>
      </c>
      <c r="D47" s="10" t="s">
        <v>9</v>
      </c>
      <c r="E47" t="s">
        <v>0</v>
      </c>
      <c r="F47" s="10" t="s">
        <v>1</v>
      </c>
      <c r="G47" s="10" t="s">
        <v>10</v>
      </c>
      <c r="H47" s="10" t="s">
        <v>3</v>
      </c>
      <c r="J47" t="s">
        <v>3</v>
      </c>
      <c r="K47" t="s">
        <v>0</v>
      </c>
      <c r="L47" t="s">
        <v>1</v>
      </c>
      <c r="M47" t="s">
        <v>3</v>
      </c>
      <c r="R47" s="1" t="s">
        <v>18</v>
      </c>
      <c r="S47" s="1" t="s">
        <v>19</v>
      </c>
      <c r="T47" s="2" t="s">
        <v>20</v>
      </c>
    </row>
    <row r="48" spans="1:20" x14ac:dyDescent="0.25">
      <c r="A48" s="6">
        <v>45751</v>
      </c>
      <c r="B48" s="7">
        <v>62.5</v>
      </c>
      <c r="C48" s="7">
        <v>21612</v>
      </c>
      <c r="D48" s="7">
        <f>+B48/C48*100</f>
        <v>0.28919119007958544</v>
      </c>
      <c r="E48" s="7">
        <f>+K48/100*D48</f>
        <v>2.5795854155099023</v>
      </c>
      <c r="F48" s="7">
        <f>+L48/100*D48</f>
        <v>1.8219044975013883</v>
      </c>
      <c r="G48" s="7">
        <f>+M48/100*D48</f>
        <v>1.6686331667592078</v>
      </c>
      <c r="H48" s="7">
        <f>+J48/100*D48</f>
        <v>0.86757357023875636</v>
      </c>
      <c r="J48">
        <v>300</v>
      </c>
      <c r="K48">
        <v>892</v>
      </c>
      <c r="L48">
        <v>630</v>
      </c>
      <c r="M48">
        <v>577</v>
      </c>
      <c r="R48" s="3">
        <v>45752</v>
      </c>
      <c r="S48" s="3" t="s">
        <v>21</v>
      </c>
      <c r="T48" s="4">
        <v>687.5</v>
      </c>
    </row>
    <row r="49" spans="1:20" x14ac:dyDescent="0.25">
      <c r="A49" s="6">
        <v>45752</v>
      </c>
      <c r="B49" s="7">
        <v>3750</v>
      </c>
      <c r="C49" s="7">
        <v>21954</v>
      </c>
      <c r="D49" s="7">
        <f t="shared" ref="D49:D59" si="15">+B49/C49*100</f>
        <v>17.081169718502323</v>
      </c>
      <c r="E49" s="7">
        <f t="shared" ref="E49:E59" si="16">+K49/100*D49</f>
        <v>152.36403388904071</v>
      </c>
      <c r="F49" s="7">
        <f t="shared" ref="F49:F59" si="17">+L49/100*D49</f>
        <v>107.61136922656463</v>
      </c>
      <c r="G49" s="7">
        <f t="shared" ref="G49:G59" si="18">+M49/100*D49</f>
        <v>98.558349275758403</v>
      </c>
      <c r="H49" s="7">
        <f t="shared" ref="H49:H59" si="19">+J49/100*D49</f>
        <v>51.24350915550697</v>
      </c>
      <c r="J49">
        <v>300</v>
      </c>
      <c r="K49">
        <v>892</v>
      </c>
      <c r="L49">
        <v>630</v>
      </c>
      <c r="M49">
        <v>577</v>
      </c>
      <c r="R49" s="3">
        <v>45754</v>
      </c>
      <c r="S49" s="3" t="s">
        <v>22</v>
      </c>
      <c r="T49" s="4">
        <v>632.5</v>
      </c>
    </row>
    <row r="50" spans="1:20" x14ac:dyDescent="0.25">
      <c r="A50" s="6">
        <v>45753</v>
      </c>
      <c r="B50" s="7">
        <v>3915</v>
      </c>
      <c r="C50" s="7">
        <v>15988.571428571428</v>
      </c>
      <c r="D50" s="7">
        <f t="shared" si="15"/>
        <v>24.48624017155111</v>
      </c>
      <c r="E50" s="7">
        <f t="shared" si="16"/>
        <v>218.66212473195139</v>
      </c>
      <c r="F50" s="7">
        <f t="shared" si="17"/>
        <v>154.26331308077198</v>
      </c>
      <c r="G50" s="7">
        <f t="shared" si="18"/>
        <v>0</v>
      </c>
      <c r="H50" s="7">
        <f t="shared" si="19"/>
        <v>73.458720514653322</v>
      </c>
      <c r="J50">
        <v>300</v>
      </c>
      <c r="K50">
        <v>893</v>
      </c>
      <c r="L50">
        <v>630</v>
      </c>
      <c r="M50">
        <v>0</v>
      </c>
      <c r="R50" s="3">
        <v>45761</v>
      </c>
      <c r="S50" s="3" t="s">
        <v>23</v>
      </c>
      <c r="T50" s="4">
        <v>687.5</v>
      </c>
    </row>
    <row r="51" spans="1:20" x14ac:dyDescent="0.25">
      <c r="A51" s="6">
        <v>45754</v>
      </c>
      <c r="B51" s="7">
        <v>2723.75</v>
      </c>
      <c r="C51" s="7">
        <v>20359.388888888891</v>
      </c>
      <c r="D51" s="7">
        <f t="shared" si="15"/>
        <v>13.378348509696588</v>
      </c>
      <c r="E51" s="7">
        <f t="shared" si="16"/>
        <v>119.33486870649357</v>
      </c>
      <c r="F51" s="7">
        <f t="shared" si="17"/>
        <v>84.283595611088501</v>
      </c>
      <c r="G51" s="7">
        <f t="shared" si="18"/>
        <v>77.193070900949309</v>
      </c>
      <c r="H51" s="7">
        <f t="shared" si="19"/>
        <v>40.135045529089766</v>
      </c>
      <c r="J51">
        <v>300</v>
      </c>
      <c r="K51">
        <v>892</v>
      </c>
      <c r="L51">
        <v>630</v>
      </c>
      <c r="M51">
        <v>577</v>
      </c>
      <c r="R51" s="3">
        <v>45761</v>
      </c>
      <c r="S51" s="3" t="s">
        <v>24</v>
      </c>
      <c r="T51" s="4">
        <v>687.5</v>
      </c>
    </row>
    <row r="52" spans="1:20" x14ac:dyDescent="0.25">
      <c r="A52" s="6">
        <v>45755</v>
      </c>
      <c r="B52" s="7">
        <v>648.75</v>
      </c>
      <c r="C52" s="7">
        <v>21300.2</v>
      </c>
      <c r="D52" s="7">
        <f t="shared" si="15"/>
        <v>3.0457460493328701</v>
      </c>
      <c r="E52" s="7">
        <f t="shared" si="16"/>
        <v>27.168054760049202</v>
      </c>
      <c r="F52" s="7">
        <f t="shared" si="17"/>
        <v>19.18820011079708</v>
      </c>
      <c r="G52" s="7">
        <f t="shared" si="18"/>
        <v>17.57395470465066</v>
      </c>
      <c r="H52" s="7">
        <f t="shared" si="19"/>
        <v>9.1372381479986107</v>
      </c>
      <c r="J52">
        <v>300</v>
      </c>
      <c r="K52">
        <v>892</v>
      </c>
      <c r="L52">
        <v>630</v>
      </c>
      <c r="M52">
        <v>577</v>
      </c>
      <c r="R52" s="3">
        <v>45761</v>
      </c>
      <c r="S52" s="3" t="s">
        <v>25</v>
      </c>
      <c r="T52" s="4">
        <v>673.75</v>
      </c>
    </row>
    <row r="53" spans="1:20" x14ac:dyDescent="0.25">
      <c r="A53" s="6">
        <v>45757</v>
      </c>
      <c r="B53" s="7">
        <v>97.5</v>
      </c>
      <c r="C53" s="7">
        <v>22158</v>
      </c>
      <c r="D53" s="7">
        <f t="shared" si="15"/>
        <v>0.4400216626049282</v>
      </c>
      <c r="E53" s="7">
        <f t="shared" si="16"/>
        <v>3.9249932304359594</v>
      </c>
      <c r="F53" s="7">
        <f t="shared" si="17"/>
        <v>2.7721364744110475</v>
      </c>
      <c r="G53" s="7">
        <f t="shared" si="18"/>
        <v>2.5389249932304354</v>
      </c>
      <c r="H53" s="7">
        <f t="shared" si="19"/>
        <v>1.3200649878147845</v>
      </c>
      <c r="J53">
        <v>300</v>
      </c>
      <c r="K53">
        <v>892</v>
      </c>
      <c r="L53">
        <v>630</v>
      </c>
      <c r="M53">
        <v>577</v>
      </c>
      <c r="R53" s="3">
        <v>45762</v>
      </c>
      <c r="S53" s="1" t="s">
        <v>26</v>
      </c>
      <c r="T53" s="4">
        <v>673.75</v>
      </c>
    </row>
    <row r="54" spans="1:20" x14ac:dyDescent="0.25">
      <c r="A54" s="6">
        <v>45758</v>
      </c>
      <c r="B54" s="7">
        <v>536.25</v>
      </c>
      <c r="C54" s="7">
        <v>20984.400000000001</v>
      </c>
      <c r="D54" s="7">
        <f t="shared" si="15"/>
        <v>2.5554697775490363</v>
      </c>
      <c r="E54" s="7">
        <f t="shared" si="16"/>
        <v>22.794790415737403</v>
      </c>
      <c r="F54" s="7">
        <f t="shared" si="17"/>
        <v>16.099459598558926</v>
      </c>
      <c r="G54" s="7">
        <f t="shared" si="18"/>
        <v>14.745060616457938</v>
      </c>
      <c r="H54" s="7">
        <f t="shared" si="19"/>
        <v>7.6664093326471088</v>
      </c>
      <c r="J54">
        <v>300</v>
      </c>
      <c r="K54">
        <v>892</v>
      </c>
      <c r="L54">
        <v>630</v>
      </c>
      <c r="M54">
        <v>577</v>
      </c>
      <c r="R54" s="3">
        <v>45762</v>
      </c>
      <c r="S54" s="3" t="s">
        <v>27</v>
      </c>
      <c r="T54" s="4">
        <v>687.5</v>
      </c>
    </row>
    <row r="55" spans="1:20" x14ac:dyDescent="0.25">
      <c r="A55" s="6">
        <v>45759</v>
      </c>
      <c r="B55" s="7">
        <v>905</v>
      </c>
      <c r="C55" s="7">
        <v>15960</v>
      </c>
      <c r="D55" s="7">
        <f t="shared" si="15"/>
        <v>5.670426065162907</v>
      </c>
      <c r="E55" s="7">
        <f t="shared" si="16"/>
        <v>50.580200501253131</v>
      </c>
      <c r="F55" s="7">
        <f t="shared" si="17"/>
        <v>35.723684210526315</v>
      </c>
      <c r="G55" s="7">
        <f t="shared" si="18"/>
        <v>32.718358395989974</v>
      </c>
      <c r="H55" s="7">
        <f t="shared" si="19"/>
        <v>17.011278195488721</v>
      </c>
      <c r="J55">
        <v>300</v>
      </c>
      <c r="K55">
        <v>892</v>
      </c>
      <c r="L55">
        <v>630</v>
      </c>
      <c r="M55">
        <v>577</v>
      </c>
      <c r="R55" s="3">
        <v>45762</v>
      </c>
      <c r="S55" s="3" t="s">
        <v>28</v>
      </c>
      <c r="T55" s="4">
        <v>605</v>
      </c>
    </row>
    <row r="56" spans="1:20" x14ac:dyDescent="0.25">
      <c r="A56" s="6">
        <v>45761</v>
      </c>
      <c r="B56" s="7">
        <v>3151.25</v>
      </c>
      <c r="C56" s="7">
        <v>16912</v>
      </c>
      <c r="D56" s="7">
        <f t="shared" si="15"/>
        <v>18.633219016083256</v>
      </c>
      <c r="E56" s="7">
        <f t="shared" si="16"/>
        <v>166.39464581362347</v>
      </c>
      <c r="F56" s="7">
        <f t="shared" si="17"/>
        <v>117.38927980132451</v>
      </c>
      <c r="G56" s="7">
        <f t="shared" si="18"/>
        <v>107.51367372280038</v>
      </c>
      <c r="H56" s="7">
        <f t="shared" si="19"/>
        <v>0</v>
      </c>
      <c r="J56">
        <v>0</v>
      </c>
      <c r="K56">
        <v>893</v>
      </c>
      <c r="L56">
        <v>630</v>
      </c>
      <c r="M56">
        <v>577</v>
      </c>
      <c r="R56" s="3">
        <v>45762</v>
      </c>
      <c r="S56" s="3" t="s">
        <v>29</v>
      </c>
      <c r="T56" s="4">
        <v>632.5</v>
      </c>
    </row>
    <row r="57" spans="1:20" x14ac:dyDescent="0.25">
      <c r="A57" s="6">
        <v>45762</v>
      </c>
      <c r="B57" s="7">
        <v>6785</v>
      </c>
      <c r="C57" s="7">
        <v>18801</v>
      </c>
      <c r="D57" s="7">
        <f t="shared" si="15"/>
        <v>36.088505930535611</v>
      </c>
      <c r="E57" s="7">
        <f t="shared" si="16"/>
        <v>322.270357959683</v>
      </c>
      <c r="F57" s="7">
        <f t="shared" si="17"/>
        <v>227.35758736237435</v>
      </c>
      <c r="G57" s="7">
        <f t="shared" si="18"/>
        <v>0</v>
      </c>
      <c r="H57" s="7">
        <f t="shared" si="19"/>
        <v>108.26551779160684</v>
      </c>
      <c r="J57">
        <v>300</v>
      </c>
      <c r="K57">
        <v>893</v>
      </c>
      <c r="L57">
        <v>630</v>
      </c>
      <c r="M57">
        <v>0</v>
      </c>
      <c r="R57" s="3">
        <v>45762</v>
      </c>
      <c r="S57" s="3" t="s">
        <v>30</v>
      </c>
      <c r="T57" s="4">
        <v>660</v>
      </c>
    </row>
    <row r="58" spans="1:20" x14ac:dyDescent="0.25">
      <c r="A58" s="6">
        <v>45763</v>
      </c>
      <c r="B58" s="7">
        <v>2662.5</v>
      </c>
      <c r="C58" s="7">
        <v>18086</v>
      </c>
      <c r="D58" s="7">
        <f t="shared" si="15"/>
        <v>14.721331416565301</v>
      </c>
      <c r="E58" s="7">
        <f t="shared" si="16"/>
        <v>131.46148954992813</v>
      </c>
      <c r="F58" s="7">
        <f t="shared" si="17"/>
        <v>92.744387924361391</v>
      </c>
      <c r="G58" s="7">
        <f t="shared" si="18"/>
        <v>84.942082273581775</v>
      </c>
      <c r="H58" s="7">
        <f t="shared" si="19"/>
        <v>44.163994249695904</v>
      </c>
      <c r="J58">
        <v>300</v>
      </c>
      <c r="K58">
        <v>893</v>
      </c>
      <c r="L58">
        <v>630</v>
      </c>
      <c r="M58">
        <v>577</v>
      </c>
      <c r="R58" s="3">
        <v>45762</v>
      </c>
      <c r="S58" s="3" t="s">
        <v>24</v>
      </c>
      <c r="T58" s="4">
        <v>687.5</v>
      </c>
    </row>
    <row r="59" spans="1:20" ht="15.75" thickBot="1" x14ac:dyDescent="0.3">
      <c r="A59" s="13">
        <v>45764</v>
      </c>
      <c r="B59" s="14">
        <v>560</v>
      </c>
      <c r="C59" s="14">
        <v>20009</v>
      </c>
      <c r="D59" s="14">
        <f t="shared" si="15"/>
        <v>2.7987405667449647</v>
      </c>
      <c r="E59" s="14">
        <f t="shared" si="16"/>
        <v>24.992753261032533</v>
      </c>
      <c r="F59" s="14">
        <f t="shared" si="17"/>
        <v>17.632065570493278</v>
      </c>
      <c r="G59" s="14">
        <f t="shared" si="18"/>
        <v>16.148733070118446</v>
      </c>
      <c r="H59" s="14">
        <f t="shared" si="19"/>
        <v>8.3962217002348947</v>
      </c>
      <c r="J59">
        <v>300</v>
      </c>
      <c r="K59">
        <v>893</v>
      </c>
      <c r="L59">
        <v>630</v>
      </c>
      <c r="M59">
        <v>577</v>
      </c>
      <c r="R59" s="3">
        <v>45762</v>
      </c>
      <c r="S59" s="3" t="s">
        <v>31</v>
      </c>
      <c r="T59" s="4">
        <v>632.5</v>
      </c>
    </row>
    <row r="60" spans="1:20" x14ac:dyDescent="0.25">
      <c r="A60" s="19" t="s">
        <v>13</v>
      </c>
      <c r="B60" s="20"/>
      <c r="C60" s="20"/>
      <c r="D60" s="20"/>
      <c r="E60" s="21" t="e" vm="13">
        <f>SUM(_FV(E51,"E59"))</f>
        <v>#VALUE!</v>
      </c>
      <c r="F60" s="21" t="e" vm="14">
        <f>SUM(_FV(F51,"F59"))</f>
        <v>#VALUE!</v>
      </c>
      <c r="G60" s="21" t="e" vm="15">
        <f>SUM(_FV(G51,"G59"))</f>
        <v>#VALUE!</v>
      </c>
      <c r="H60" s="21" t="e" vm="16">
        <f>SUM(_FV(H51,"H59"))</f>
        <v>#VALUE!</v>
      </c>
      <c r="R60" s="3">
        <v>45762</v>
      </c>
      <c r="S60" s="3" t="s">
        <v>32</v>
      </c>
      <c r="T60" s="4">
        <v>673.75</v>
      </c>
    </row>
    <row r="61" spans="1:20" x14ac:dyDescent="0.25">
      <c r="R61" s="3">
        <v>45762</v>
      </c>
      <c r="S61" s="5" t="s">
        <v>33</v>
      </c>
      <c r="T61" s="4">
        <v>673.75</v>
      </c>
    </row>
    <row r="62" spans="1:20" x14ac:dyDescent="0.25">
      <c r="R62" s="3">
        <v>45763</v>
      </c>
      <c r="S62" s="3" t="s">
        <v>27</v>
      </c>
      <c r="T62" s="4">
        <v>625</v>
      </c>
    </row>
    <row r="63" spans="1:20" x14ac:dyDescent="0.25">
      <c r="R63" s="3">
        <v>45763</v>
      </c>
      <c r="S63" s="3" t="s">
        <v>30</v>
      </c>
      <c r="T63" s="4">
        <v>660</v>
      </c>
    </row>
    <row r="64" spans="1:20" x14ac:dyDescent="0.25">
      <c r="R64" s="17"/>
      <c r="S64" s="18" t="s">
        <v>34</v>
      </c>
      <c r="T64" s="17">
        <f>+SUM(COUNT(_FV(T48,"T63")))</f>
        <v>0</v>
      </c>
    </row>
    <row r="67" spans="1:18" x14ac:dyDescent="0.25">
      <c r="L67" t="s">
        <v>5</v>
      </c>
    </row>
    <row r="69" spans="1:18" x14ac:dyDescent="0.25">
      <c r="M69" t="s">
        <v>5</v>
      </c>
    </row>
    <row r="70" spans="1:18" x14ac:dyDescent="0.25">
      <c r="A70" s="11" t="s">
        <v>35</v>
      </c>
    </row>
    <row r="71" spans="1:18" x14ac:dyDescent="0.25">
      <c r="A71" s="8" t="s">
        <v>6</v>
      </c>
      <c r="B71" s="8" t="s">
        <v>36</v>
      </c>
      <c r="C71" s="22" t="s">
        <v>37</v>
      </c>
      <c r="D71" s="22" t="s">
        <v>38</v>
      </c>
      <c r="E71" s="22" t="s">
        <v>39</v>
      </c>
      <c r="F71" s="22" t="s">
        <v>8</v>
      </c>
      <c r="G71" s="22" t="s">
        <v>9</v>
      </c>
      <c r="I71" s="22" t="s">
        <v>0</v>
      </c>
      <c r="J71" s="10" t="s">
        <v>1</v>
      </c>
      <c r="K71" s="10" t="s">
        <v>10</v>
      </c>
      <c r="L71" s="10" t="s">
        <v>3</v>
      </c>
      <c r="O71" s="24" t="s">
        <v>40</v>
      </c>
      <c r="P71" s="24" t="s">
        <v>0</v>
      </c>
      <c r="Q71" s="24" t="s">
        <v>1</v>
      </c>
      <c r="R71" s="24" t="s">
        <v>3</v>
      </c>
    </row>
    <row r="72" spans="1:18" x14ac:dyDescent="0.25">
      <c r="A72" s="6">
        <v>45758</v>
      </c>
      <c r="B72" s="7">
        <v>850</v>
      </c>
      <c r="C72">
        <v>0</v>
      </c>
      <c r="D72">
        <v>0</v>
      </c>
      <c r="E72" s="7" t="e" vm="17">
        <f>+SUM(_FV(B72,"D72"))</f>
        <v>#VALUE!</v>
      </c>
      <c r="F72" s="7">
        <v>20984.400000000001</v>
      </c>
      <c r="G72" s="7" t="e" vm="18">
        <f>+E72/F72*100</f>
        <v>#VALUE!</v>
      </c>
      <c r="I72">
        <v>893</v>
      </c>
      <c r="J72">
        <v>630</v>
      </c>
      <c r="K72">
        <v>300</v>
      </c>
      <c r="L72">
        <v>577</v>
      </c>
      <c r="O72" s="7" t="e" vm="18">
        <f>+K72/100*G72</f>
        <v>#VALUE!</v>
      </c>
      <c r="P72" s="7" t="e" vm="18">
        <f>+I72/100*G72</f>
        <v>#VALUE!</v>
      </c>
      <c r="Q72" t="e" vm="18">
        <f>+J72/100*G72</f>
        <v>#VALUE!</v>
      </c>
      <c r="R72" s="7" t="e" vm="18">
        <f>+L72/100*G72</f>
        <v>#VALUE!</v>
      </c>
    </row>
    <row r="73" spans="1:18" x14ac:dyDescent="0.25">
      <c r="A73" s="6">
        <v>45759</v>
      </c>
      <c r="B73" s="7">
        <v>1866.25</v>
      </c>
      <c r="C73">
        <v>0</v>
      </c>
      <c r="D73">
        <v>0</v>
      </c>
      <c r="E73" s="7" t="e" vm="19">
        <f>+SUM(_FV(B73,"D73"))</f>
        <v>#VALUE!</v>
      </c>
      <c r="F73" s="7">
        <v>16030</v>
      </c>
      <c r="G73" s="7" t="e" vm="18">
        <f t="shared" ref="G73:G85" si="20">+E73/F73*100</f>
        <v>#VALUE!</v>
      </c>
      <c r="I73">
        <v>893</v>
      </c>
      <c r="J73">
        <v>630</v>
      </c>
      <c r="K73">
        <v>0</v>
      </c>
      <c r="L73">
        <v>577</v>
      </c>
      <c r="O73" s="7" t="e" vm="18">
        <f t="shared" ref="O73:O85" si="21">+K73/100*G73</f>
        <v>#VALUE!</v>
      </c>
      <c r="P73" s="7" t="e" vm="18">
        <f t="shared" ref="P73:P85" si="22">+I73/100*G73</f>
        <v>#VALUE!</v>
      </c>
      <c r="Q73" t="e" vm="18">
        <f t="shared" ref="Q73:Q85" si="23">+J73/100*G73</f>
        <v>#VALUE!</v>
      </c>
      <c r="R73" s="7" t="e" vm="18">
        <f t="shared" ref="R73:R85" si="24">+L73/100*G73</f>
        <v>#VALUE!</v>
      </c>
    </row>
    <row r="74" spans="1:18" x14ac:dyDescent="0.25">
      <c r="A74" s="6">
        <v>45761</v>
      </c>
      <c r="B74" s="7">
        <v>3426.25</v>
      </c>
      <c r="C74">
        <v>0</v>
      </c>
      <c r="D74">
        <v>0</v>
      </c>
      <c r="E74" s="7" t="e" vm="20">
        <f>+SUM(_FV(B74,"D74"))</f>
        <v>#VALUE!</v>
      </c>
      <c r="F74" s="7">
        <v>17009</v>
      </c>
      <c r="G74" s="7" t="e" vm="18">
        <f t="shared" si="20"/>
        <v>#VALUE!</v>
      </c>
      <c r="I74">
        <v>893</v>
      </c>
      <c r="J74">
        <v>630</v>
      </c>
      <c r="K74">
        <v>0</v>
      </c>
      <c r="L74">
        <v>577</v>
      </c>
      <c r="O74" s="7" t="e" vm="18">
        <f t="shared" si="21"/>
        <v>#VALUE!</v>
      </c>
      <c r="P74" s="7" t="e" vm="18">
        <f t="shared" si="22"/>
        <v>#VALUE!</v>
      </c>
      <c r="Q74" t="e" vm="18">
        <f t="shared" si="23"/>
        <v>#VALUE!</v>
      </c>
      <c r="R74" s="7" t="e" vm="18">
        <f t="shared" si="24"/>
        <v>#VALUE!</v>
      </c>
    </row>
    <row r="75" spans="1:18" x14ac:dyDescent="0.25">
      <c r="A75" s="6">
        <v>45762</v>
      </c>
      <c r="B75" s="7">
        <v>6366.25</v>
      </c>
      <c r="C75">
        <v>0</v>
      </c>
      <c r="D75">
        <v>0</v>
      </c>
      <c r="E75" s="7" t="e" vm="21">
        <f>+SUM(_FV(B75,"D75"))</f>
        <v>#VALUE!</v>
      </c>
      <c r="F75" s="7">
        <v>18912</v>
      </c>
      <c r="G75" s="7" t="e" vm="18">
        <f t="shared" si="20"/>
        <v>#VALUE!</v>
      </c>
      <c r="I75">
        <v>893</v>
      </c>
      <c r="J75">
        <v>630</v>
      </c>
      <c r="K75">
        <v>300</v>
      </c>
      <c r="L75">
        <v>0</v>
      </c>
      <c r="O75" s="7" t="e" vm="18">
        <f t="shared" si="21"/>
        <v>#VALUE!</v>
      </c>
      <c r="P75" s="7" t="e" vm="18">
        <f t="shared" si="22"/>
        <v>#VALUE!</v>
      </c>
      <c r="Q75" t="e" vm="18">
        <f t="shared" si="23"/>
        <v>#VALUE!</v>
      </c>
      <c r="R75" s="7" t="e" vm="18">
        <f t="shared" si="24"/>
        <v>#VALUE!</v>
      </c>
    </row>
    <row r="76" spans="1:18" x14ac:dyDescent="0.25">
      <c r="A76" s="6">
        <v>45763</v>
      </c>
      <c r="B76" s="7">
        <v>6448.75</v>
      </c>
      <c r="C76">
        <v>0</v>
      </c>
      <c r="D76">
        <v>0</v>
      </c>
      <c r="E76" s="7" t="e" vm="22">
        <f>+SUM(_FV(B76,"D76"))</f>
        <v>#VALUE!</v>
      </c>
      <c r="F76" s="7">
        <v>18307</v>
      </c>
      <c r="G76" s="7" t="e" vm="18">
        <f t="shared" si="20"/>
        <v>#VALUE!</v>
      </c>
      <c r="I76">
        <v>893</v>
      </c>
      <c r="J76">
        <v>630</v>
      </c>
      <c r="K76">
        <v>300</v>
      </c>
      <c r="L76">
        <v>577</v>
      </c>
      <c r="O76" s="7" t="e" vm="18">
        <f t="shared" si="21"/>
        <v>#VALUE!</v>
      </c>
      <c r="P76" s="7" t="e" vm="18">
        <f t="shared" si="22"/>
        <v>#VALUE!</v>
      </c>
      <c r="Q76" t="e" vm="18">
        <f t="shared" si="23"/>
        <v>#VALUE!</v>
      </c>
      <c r="R76" s="7" t="e" vm="18">
        <f t="shared" si="24"/>
        <v>#VALUE!</v>
      </c>
    </row>
    <row r="77" spans="1:18" x14ac:dyDescent="0.25">
      <c r="A77" s="6">
        <v>45764</v>
      </c>
      <c r="B77" s="7">
        <v>6520</v>
      </c>
      <c r="C77">
        <v>0</v>
      </c>
      <c r="D77">
        <v>0</v>
      </c>
      <c r="E77" s="7" t="e" vm="23">
        <f>+SUM(_FV(B77,"D77"))</f>
        <v>#VALUE!</v>
      </c>
      <c r="F77" s="7">
        <v>20230</v>
      </c>
      <c r="G77" s="7" t="e" vm="18">
        <f t="shared" si="20"/>
        <v>#VALUE!</v>
      </c>
      <c r="I77">
        <v>893</v>
      </c>
      <c r="J77">
        <v>630</v>
      </c>
      <c r="K77">
        <v>300</v>
      </c>
      <c r="L77">
        <v>577</v>
      </c>
      <c r="O77" s="7" t="e" vm="18">
        <f t="shared" si="21"/>
        <v>#VALUE!</v>
      </c>
      <c r="P77" s="7" t="e" vm="18">
        <f t="shared" si="22"/>
        <v>#VALUE!</v>
      </c>
      <c r="Q77" t="e" vm="18">
        <f t="shared" si="23"/>
        <v>#VALUE!</v>
      </c>
      <c r="R77" s="7" t="e" vm="18">
        <f t="shared" si="24"/>
        <v>#VALUE!</v>
      </c>
    </row>
    <row r="78" spans="1:18" x14ac:dyDescent="0.25">
      <c r="A78" s="6">
        <v>45765</v>
      </c>
      <c r="B78" s="7">
        <v>7103.75</v>
      </c>
      <c r="C78">
        <v>0</v>
      </c>
      <c r="D78">
        <v>0</v>
      </c>
      <c r="E78" s="7" t="e" vm="24">
        <f>+SUM(_FV(B78,"D78"))</f>
        <v>#VALUE!</v>
      </c>
      <c r="F78" s="7">
        <v>20366.25</v>
      </c>
      <c r="G78" s="7" t="e" vm="18">
        <f t="shared" si="20"/>
        <v>#VALUE!</v>
      </c>
      <c r="I78">
        <v>0</v>
      </c>
      <c r="J78">
        <v>1000</v>
      </c>
      <c r="K78">
        <v>300</v>
      </c>
      <c r="L78">
        <v>577</v>
      </c>
      <c r="O78" s="7" t="e" vm="18">
        <f>+K92/100*G78</f>
        <v>#VALUE!</v>
      </c>
      <c r="P78" s="7" t="e" vm="18">
        <f t="shared" si="22"/>
        <v>#VALUE!</v>
      </c>
      <c r="Q78" t="e" vm="18">
        <f t="shared" si="23"/>
        <v>#VALUE!</v>
      </c>
      <c r="R78" s="7" t="e" vm="18">
        <f>+L92/100*G78</f>
        <v>#VALUE!</v>
      </c>
    </row>
    <row r="79" spans="1:18" x14ac:dyDescent="0.25">
      <c r="A79" s="6">
        <v>45766</v>
      </c>
      <c r="B79" s="7">
        <v>4807.5</v>
      </c>
      <c r="C79">
        <v>622.5</v>
      </c>
      <c r="D79">
        <v>367.5</v>
      </c>
      <c r="E79" s="7" t="e" vm="25">
        <f>+SUM(_FV(B79,"D79"))</f>
        <v>#VALUE!</v>
      </c>
      <c r="F79" s="7">
        <v>18159.875</v>
      </c>
      <c r="G79" s="7" t="e" vm="18">
        <f t="shared" si="20"/>
        <v>#VALUE!</v>
      </c>
      <c r="I79">
        <v>0</v>
      </c>
      <c r="J79">
        <v>1000</v>
      </c>
      <c r="K79">
        <v>300</v>
      </c>
      <c r="L79">
        <v>577</v>
      </c>
      <c r="O79" s="7" t="e" vm="18">
        <f t="shared" si="21"/>
        <v>#VALUE!</v>
      </c>
      <c r="P79" s="7" t="e" vm="18">
        <f t="shared" si="22"/>
        <v>#VALUE!</v>
      </c>
      <c r="Q79" t="e" vm="18">
        <f t="shared" si="23"/>
        <v>#VALUE!</v>
      </c>
      <c r="R79" s="7" t="e" vm="18">
        <f t="shared" si="24"/>
        <v>#VALUE!</v>
      </c>
    </row>
    <row r="80" spans="1:18" x14ac:dyDescent="0.25">
      <c r="A80" s="6">
        <v>45767</v>
      </c>
      <c r="B80" s="7">
        <v>2725</v>
      </c>
      <c r="C80">
        <v>1136.6666666666665</v>
      </c>
      <c r="D80">
        <v>409.99999999999994</v>
      </c>
      <c r="E80" s="7" t="e" vm="26">
        <f>+SUM(_FV(B80,"D80"))</f>
        <v>#VALUE!</v>
      </c>
      <c r="F80" s="7">
        <v>14590</v>
      </c>
      <c r="G80" s="7" t="e" vm="18">
        <f t="shared" si="20"/>
        <v>#VALUE!</v>
      </c>
      <c r="I80">
        <v>0</v>
      </c>
      <c r="J80">
        <v>1000</v>
      </c>
      <c r="K80">
        <v>300</v>
      </c>
      <c r="L80">
        <v>577</v>
      </c>
      <c r="O80" s="7" t="e" vm="18">
        <f t="shared" si="21"/>
        <v>#VALUE!</v>
      </c>
      <c r="P80" s="7" t="e" vm="18">
        <f t="shared" si="22"/>
        <v>#VALUE!</v>
      </c>
      <c r="Q80" t="e" vm="18">
        <f t="shared" si="23"/>
        <v>#VALUE!</v>
      </c>
      <c r="R80" s="7" t="e" vm="18">
        <f t="shared" si="24"/>
        <v>#VALUE!</v>
      </c>
    </row>
    <row r="81" spans="1:18" x14ac:dyDescent="0.25">
      <c r="A81" s="6">
        <v>45768</v>
      </c>
      <c r="B81" s="7">
        <v>5998.75</v>
      </c>
      <c r="C81">
        <v>543.75</v>
      </c>
      <c r="D81">
        <v>183.75</v>
      </c>
      <c r="E81" s="7" t="e" vm="27">
        <f>+SUM(_FV(B81,"D81"))</f>
        <v>#VALUE!</v>
      </c>
      <c r="F81" s="7">
        <v>19238.75</v>
      </c>
      <c r="G81" s="7" t="e" vm="18">
        <f t="shared" si="20"/>
        <v>#VALUE!</v>
      </c>
      <c r="I81">
        <v>0</v>
      </c>
      <c r="J81">
        <v>1000</v>
      </c>
      <c r="K81">
        <v>300</v>
      </c>
      <c r="L81">
        <v>577</v>
      </c>
      <c r="O81" s="7" t="e" vm="18">
        <f t="shared" si="21"/>
        <v>#VALUE!</v>
      </c>
      <c r="P81" s="7" t="e" vm="18">
        <f t="shared" si="22"/>
        <v>#VALUE!</v>
      </c>
      <c r="Q81" t="e" vm="18">
        <f t="shared" si="23"/>
        <v>#VALUE!</v>
      </c>
      <c r="R81" s="7" t="e" vm="18">
        <f t="shared" si="24"/>
        <v>#VALUE!</v>
      </c>
    </row>
    <row r="82" spans="1:18" x14ac:dyDescent="0.25">
      <c r="A82" s="6">
        <v>45769</v>
      </c>
      <c r="B82" s="7">
        <v>5760</v>
      </c>
      <c r="C82">
        <v>0</v>
      </c>
      <c r="D82">
        <v>0</v>
      </c>
      <c r="E82" s="7" t="e" vm="28">
        <f>+SUM(_FV(B82,"D82"))</f>
        <v>#VALUE!</v>
      </c>
      <c r="F82" s="7">
        <v>18949.25</v>
      </c>
      <c r="G82" s="7" t="e" vm="18">
        <f t="shared" si="20"/>
        <v>#VALUE!</v>
      </c>
      <c r="I82">
        <v>0</v>
      </c>
      <c r="J82">
        <v>1000</v>
      </c>
      <c r="K82">
        <v>300</v>
      </c>
      <c r="L82">
        <v>577</v>
      </c>
      <c r="O82" s="7" t="e" vm="18">
        <f t="shared" si="21"/>
        <v>#VALUE!</v>
      </c>
      <c r="P82" s="7" t="e" vm="18">
        <f t="shared" si="22"/>
        <v>#VALUE!</v>
      </c>
      <c r="Q82" t="e" vm="18">
        <f t="shared" si="23"/>
        <v>#VALUE!</v>
      </c>
      <c r="R82" s="7" t="e" vm="18">
        <f t="shared" si="24"/>
        <v>#VALUE!</v>
      </c>
    </row>
    <row r="83" spans="1:18" x14ac:dyDescent="0.25">
      <c r="A83" s="6">
        <v>45770</v>
      </c>
      <c r="B83" s="7">
        <v>4765</v>
      </c>
      <c r="C83">
        <v>0</v>
      </c>
      <c r="D83" s="7">
        <v>37.5</v>
      </c>
      <c r="E83" s="7" t="e" vm="29">
        <f>+SUM(_FV(B83,"D83"))</f>
        <v>#VALUE!</v>
      </c>
      <c r="F83" s="7">
        <v>20783</v>
      </c>
      <c r="G83" s="7" t="e" vm="18">
        <f t="shared" si="20"/>
        <v>#VALUE!</v>
      </c>
      <c r="I83">
        <v>0</v>
      </c>
      <c r="J83">
        <v>1000</v>
      </c>
      <c r="K83">
        <v>300</v>
      </c>
      <c r="L83">
        <v>577</v>
      </c>
      <c r="O83" s="7" t="e" vm="18">
        <f t="shared" si="21"/>
        <v>#VALUE!</v>
      </c>
      <c r="P83" s="7" t="e" vm="18">
        <f t="shared" si="22"/>
        <v>#VALUE!</v>
      </c>
      <c r="Q83" t="e" vm="18">
        <f t="shared" si="23"/>
        <v>#VALUE!</v>
      </c>
      <c r="R83" s="7" t="e" vm="18">
        <f t="shared" si="24"/>
        <v>#VALUE!</v>
      </c>
    </row>
    <row r="84" spans="1:18" x14ac:dyDescent="0.25">
      <c r="A84" s="6">
        <v>45771</v>
      </c>
      <c r="B84" s="7">
        <v>2350</v>
      </c>
      <c r="C84">
        <v>0</v>
      </c>
      <c r="D84">
        <v>0</v>
      </c>
      <c r="E84" s="7" t="e" vm="30">
        <f>+SUM(_FV(B84,"D84"))</f>
        <v>#VALUE!</v>
      </c>
      <c r="F84" s="7">
        <v>20494.25</v>
      </c>
      <c r="G84" s="7" t="e" vm="18">
        <f t="shared" si="20"/>
        <v>#VALUE!</v>
      </c>
      <c r="I84">
        <v>0</v>
      </c>
      <c r="J84">
        <v>1000</v>
      </c>
      <c r="K84">
        <v>300</v>
      </c>
      <c r="L84">
        <v>577</v>
      </c>
      <c r="O84" s="7" t="e" vm="18">
        <f t="shared" si="21"/>
        <v>#VALUE!</v>
      </c>
      <c r="P84" s="7" t="e" vm="18">
        <f t="shared" si="22"/>
        <v>#VALUE!</v>
      </c>
      <c r="Q84" t="e" vm="18">
        <f t="shared" si="23"/>
        <v>#VALUE!</v>
      </c>
      <c r="R84" s="7" t="e" vm="18">
        <f t="shared" si="24"/>
        <v>#VALUE!</v>
      </c>
    </row>
    <row r="85" spans="1:18" x14ac:dyDescent="0.25">
      <c r="A85" s="6">
        <v>45772</v>
      </c>
      <c r="B85" s="7">
        <v>543.75</v>
      </c>
      <c r="C85">
        <v>0</v>
      </c>
      <c r="D85">
        <v>0</v>
      </c>
      <c r="E85" s="7" t="e" vm="31">
        <f>+SUM(_FV(B85,"D85"))</f>
        <v>#VALUE!</v>
      </c>
      <c r="F85" s="7">
        <v>20771</v>
      </c>
      <c r="G85" s="7" t="e" vm="18">
        <f t="shared" si="20"/>
        <v>#VALUE!</v>
      </c>
      <c r="I85">
        <v>0</v>
      </c>
      <c r="J85">
        <v>1000</v>
      </c>
      <c r="K85">
        <v>300</v>
      </c>
      <c r="L85">
        <v>577</v>
      </c>
      <c r="O85" s="25" t="e" vm="18">
        <f t="shared" si="21"/>
        <v>#VALUE!</v>
      </c>
      <c r="P85" s="25" t="e" vm="18">
        <f t="shared" si="22"/>
        <v>#VALUE!</v>
      </c>
      <c r="Q85" s="26" t="e" vm="18">
        <f t="shared" si="23"/>
        <v>#VALUE!</v>
      </c>
      <c r="R85" s="25" t="e" vm="18">
        <f t="shared" si="24"/>
        <v>#VALUE!</v>
      </c>
    </row>
    <row r="86" spans="1:18" x14ac:dyDescent="0.25">
      <c r="O86" s="23" t="e" vm="32">
        <f>SUM(_FV(O72,"O85"))</f>
        <v>#VALUE!</v>
      </c>
      <c r="P86" s="23" t="e" vm="33">
        <f>SUM(_FV(P72,"P85"))</f>
        <v>#VALUE!</v>
      </c>
      <c r="Q86" s="23" t="e" vm="34">
        <f>SUM(_FV(Q72,"Q85"))</f>
        <v>#VALUE!</v>
      </c>
      <c r="R86" s="23" t="e" vm="35">
        <f>SUM(_FV(R72,"R85"))</f>
        <v>#VALUE!</v>
      </c>
    </row>
    <row r="87" spans="1:18" x14ac:dyDescent="0.25">
      <c r="O87" s="23"/>
      <c r="P87" s="23"/>
      <c r="Q87" s="23"/>
      <c r="R87" s="23"/>
    </row>
    <row r="88" spans="1:18" x14ac:dyDescent="0.25">
      <c r="O88" s="23"/>
      <c r="P88" s="23"/>
      <c r="Q88" s="23"/>
      <c r="R88" s="23"/>
    </row>
    <row r="90" spans="1:18" x14ac:dyDescent="0.25">
      <c r="A90" s="11" t="s">
        <v>41</v>
      </c>
    </row>
    <row r="91" spans="1:18" x14ac:dyDescent="0.25">
      <c r="A91" s="8" t="s">
        <v>6</v>
      </c>
      <c r="B91" s="8" t="s">
        <v>42</v>
      </c>
      <c r="C91" s="22" t="s">
        <v>39</v>
      </c>
      <c r="D91" s="22" t="s">
        <v>9</v>
      </c>
      <c r="I91" s="22" t="s">
        <v>0</v>
      </c>
      <c r="J91" s="10" t="s">
        <v>1</v>
      </c>
      <c r="K91" s="10" t="s">
        <v>10</v>
      </c>
      <c r="L91" s="10" t="s">
        <v>3</v>
      </c>
      <c r="O91" s="24" t="s">
        <v>40</v>
      </c>
      <c r="P91" s="24" t="s">
        <v>0</v>
      </c>
      <c r="Q91" s="24" t="s">
        <v>1</v>
      </c>
      <c r="R91" s="24" t="s">
        <v>3</v>
      </c>
    </row>
    <row r="92" spans="1:18" x14ac:dyDescent="0.25">
      <c r="A92" s="6">
        <v>45766</v>
      </c>
      <c r="B92" s="7">
        <v>300</v>
      </c>
      <c r="C92">
        <v>18159.875</v>
      </c>
      <c r="D92" s="7">
        <f>+B92/C92*100</f>
        <v>1.6519937499569795</v>
      </c>
      <c r="I92">
        <f>+VLOOKUP(A92,$A$72:$I$85,9,0)</f>
        <v>0</v>
      </c>
      <c r="J92">
        <v>1000</v>
      </c>
      <c r="K92">
        <v>300</v>
      </c>
      <c r="L92">
        <v>577</v>
      </c>
      <c r="O92" s="7">
        <f>+K92/100*D92</f>
        <v>4.9559812498709386</v>
      </c>
      <c r="P92" s="7">
        <f>+I92/100*D92</f>
        <v>0</v>
      </c>
      <c r="Q92">
        <f>+J92/100*D92</f>
        <v>16.519937499569796</v>
      </c>
      <c r="R92" s="7">
        <f>+L92/100*D92</f>
        <v>9.5320039372517709</v>
      </c>
    </row>
    <row r="93" spans="1:18" x14ac:dyDescent="0.25">
      <c r="A93" s="6">
        <v>45767</v>
      </c>
      <c r="B93" s="7">
        <v>2231.6666666666665</v>
      </c>
      <c r="C93">
        <v>14590</v>
      </c>
      <c r="D93" s="7">
        <f t="shared" ref="D93:D98" si="25">+B93/C93*100</f>
        <v>15.29586474754398</v>
      </c>
      <c r="I93">
        <f t="shared" ref="I93:I98" si="26">+VLOOKUP(A93,$A$72:$I$85,9,0)</f>
        <v>0</v>
      </c>
      <c r="J93">
        <v>1000</v>
      </c>
      <c r="K93">
        <v>300</v>
      </c>
      <c r="L93">
        <v>577</v>
      </c>
      <c r="O93" s="7">
        <f t="shared" ref="O93:O98" si="27">+K93/100*D93</f>
        <v>45.887594242631941</v>
      </c>
      <c r="P93" s="7">
        <f t="shared" ref="P93:P98" si="28">+I93/100*D93</f>
        <v>0</v>
      </c>
      <c r="Q93">
        <f t="shared" ref="Q93:Q98" si="29">+J93/100*D93</f>
        <v>152.95864747543982</v>
      </c>
      <c r="R93" s="7">
        <f t="shared" ref="R93:R98" si="30">+L93/100*D93</f>
        <v>88.257139593328759</v>
      </c>
    </row>
    <row r="94" spans="1:18" x14ac:dyDescent="0.25">
      <c r="A94" s="6">
        <v>45768</v>
      </c>
      <c r="B94" s="7">
        <v>4285</v>
      </c>
      <c r="C94">
        <v>19238.75</v>
      </c>
      <c r="D94" s="7">
        <f t="shared" si="25"/>
        <v>22.272756805925543</v>
      </c>
      <c r="I94">
        <f t="shared" si="26"/>
        <v>0</v>
      </c>
      <c r="J94">
        <v>1000</v>
      </c>
      <c r="K94">
        <v>300</v>
      </c>
      <c r="L94">
        <v>577</v>
      </c>
      <c r="O94" s="7">
        <f t="shared" si="27"/>
        <v>66.818270417776631</v>
      </c>
      <c r="P94" s="7">
        <f t="shared" si="28"/>
        <v>0</v>
      </c>
      <c r="Q94">
        <f t="shared" si="29"/>
        <v>222.72756805925542</v>
      </c>
      <c r="R94" s="7">
        <f t="shared" si="30"/>
        <v>128.51380677019037</v>
      </c>
    </row>
    <row r="95" spans="1:18" x14ac:dyDescent="0.25">
      <c r="A95" s="6">
        <v>45769</v>
      </c>
      <c r="B95" s="7">
        <v>5955</v>
      </c>
      <c r="C95">
        <v>18949.25</v>
      </c>
      <c r="D95" s="7">
        <f t="shared" si="25"/>
        <v>31.42604588572107</v>
      </c>
      <c r="I95">
        <f t="shared" si="26"/>
        <v>0</v>
      </c>
      <c r="J95">
        <v>1000</v>
      </c>
      <c r="K95">
        <v>300</v>
      </c>
      <c r="L95">
        <v>577</v>
      </c>
      <c r="O95" s="7">
        <f t="shared" si="27"/>
        <v>94.278137657163214</v>
      </c>
      <c r="P95" s="7">
        <f t="shared" si="28"/>
        <v>0</v>
      </c>
      <c r="Q95">
        <f t="shared" si="29"/>
        <v>314.26045885721072</v>
      </c>
      <c r="R95" s="7">
        <f t="shared" si="30"/>
        <v>181.32828476061056</v>
      </c>
    </row>
    <row r="96" spans="1:18" x14ac:dyDescent="0.25">
      <c r="A96" s="6">
        <v>45770</v>
      </c>
      <c r="B96" s="7">
        <v>5655</v>
      </c>
      <c r="C96">
        <v>20783</v>
      </c>
      <c r="D96" s="7">
        <f t="shared" si="25"/>
        <v>27.209738728768706</v>
      </c>
      <c r="I96">
        <f t="shared" si="26"/>
        <v>0</v>
      </c>
      <c r="J96">
        <v>1000</v>
      </c>
      <c r="K96">
        <v>300</v>
      </c>
      <c r="L96">
        <v>577</v>
      </c>
      <c r="O96" s="7">
        <f t="shared" si="27"/>
        <v>81.62921618630611</v>
      </c>
      <c r="P96" s="7">
        <f t="shared" si="28"/>
        <v>0</v>
      </c>
      <c r="Q96">
        <f t="shared" si="29"/>
        <v>272.09738728768707</v>
      </c>
      <c r="R96" s="7">
        <f t="shared" si="30"/>
        <v>157.00019246499542</v>
      </c>
    </row>
    <row r="97" spans="1:18" x14ac:dyDescent="0.25">
      <c r="A97" s="6">
        <v>45771</v>
      </c>
      <c r="B97" s="7">
        <v>2216.25</v>
      </c>
      <c r="C97">
        <v>20494.25</v>
      </c>
      <c r="D97" s="7">
        <f t="shared" si="25"/>
        <v>10.814008807348403</v>
      </c>
      <c r="I97">
        <f t="shared" si="26"/>
        <v>0</v>
      </c>
      <c r="J97">
        <v>1000</v>
      </c>
      <c r="K97">
        <v>300</v>
      </c>
      <c r="L97">
        <v>577</v>
      </c>
      <c r="O97" s="7">
        <f t="shared" si="27"/>
        <v>32.44202642204521</v>
      </c>
      <c r="P97" s="7">
        <f t="shared" si="28"/>
        <v>0</v>
      </c>
      <c r="Q97">
        <f t="shared" si="29"/>
        <v>108.14008807348402</v>
      </c>
      <c r="R97" s="7">
        <f t="shared" si="30"/>
        <v>62.396830818400275</v>
      </c>
    </row>
    <row r="98" spans="1:18" x14ac:dyDescent="0.25">
      <c r="A98" s="6">
        <v>45772</v>
      </c>
      <c r="B98" s="7">
        <v>237.5</v>
      </c>
      <c r="C98">
        <v>20771</v>
      </c>
      <c r="D98" s="7">
        <f t="shared" si="25"/>
        <v>1.1434211159790093</v>
      </c>
      <c r="I98">
        <f t="shared" si="26"/>
        <v>0</v>
      </c>
      <c r="J98">
        <v>1000</v>
      </c>
      <c r="K98">
        <v>300</v>
      </c>
      <c r="L98">
        <v>577</v>
      </c>
      <c r="O98" s="25">
        <f t="shared" si="27"/>
        <v>3.4302633479370277</v>
      </c>
      <c r="P98" s="25">
        <f t="shared" si="28"/>
        <v>0</v>
      </c>
      <c r="Q98" s="26">
        <f t="shared" si="29"/>
        <v>11.434211159790094</v>
      </c>
      <c r="R98" s="25">
        <f t="shared" si="30"/>
        <v>6.5975398391988831</v>
      </c>
    </row>
    <row r="99" spans="1:18" x14ac:dyDescent="0.25">
      <c r="O99" s="7">
        <f>+SUM(O92:O98)</f>
        <v>329.44148952373104</v>
      </c>
      <c r="P99" s="7">
        <f t="shared" ref="P99:R99" si="31">+SUM(P92:P98)</f>
        <v>0</v>
      </c>
      <c r="Q99" s="7">
        <f t="shared" si="31"/>
        <v>1098.1382984124371</v>
      </c>
      <c r="R99" s="7">
        <f t="shared" si="31"/>
        <v>633.62579818397614</v>
      </c>
    </row>
    <row r="102" spans="1:18" x14ac:dyDescent="0.25">
      <c r="A102" s="11" t="s">
        <v>43</v>
      </c>
    </row>
    <row r="103" spans="1:18" x14ac:dyDescent="0.25">
      <c r="A103" s="8" t="s">
        <v>6</v>
      </c>
      <c r="B103" s="8" t="s">
        <v>44</v>
      </c>
      <c r="C103" s="22" t="s">
        <v>39</v>
      </c>
      <c r="D103" s="22" t="s">
        <v>9</v>
      </c>
      <c r="I103" s="22" t="s">
        <v>0</v>
      </c>
      <c r="J103" s="10" t="s">
        <v>1</v>
      </c>
      <c r="K103" s="10" t="s">
        <v>10</v>
      </c>
      <c r="L103" s="10" t="s">
        <v>3</v>
      </c>
      <c r="O103" s="24" t="s">
        <v>40</v>
      </c>
      <c r="P103" s="24" t="s">
        <v>0</v>
      </c>
      <c r="Q103" s="24" t="s">
        <v>1</v>
      </c>
      <c r="R103" s="24" t="s">
        <v>3</v>
      </c>
    </row>
    <row r="104" spans="1:18" x14ac:dyDescent="0.25">
      <c r="A104" s="6">
        <v>45766</v>
      </c>
      <c r="B104" s="7">
        <v>2600</v>
      </c>
      <c r="C104">
        <f>+VLOOKUP(A104,$A$92:$C$98,3,0)</f>
        <v>18159.875</v>
      </c>
      <c r="D104" s="7">
        <f>+B104/C104*100</f>
        <v>14.317279166293821</v>
      </c>
      <c r="I104">
        <v>0</v>
      </c>
      <c r="J104">
        <v>1000</v>
      </c>
      <c r="K104">
        <v>300</v>
      </c>
      <c r="L104">
        <v>577</v>
      </c>
      <c r="O104" s="7">
        <f>+K104/100*D104</f>
        <v>42.95183749888146</v>
      </c>
      <c r="P104" s="7">
        <f>+I104/100*D104</f>
        <v>0</v>
      </c>
      <c r="Q104">
        <f>+J104/100*D104</f>
        <v>143.17279166293821</v>
      </c>
      <c r="R104" s="7">
        <f>+L104/100*D104</f>
        <v>82.610700789515334</v>
      </c>
    </row>
    <row r="105" spans="1:18" x14ac:dyDescent="0.25">
      <c r="A105" s="6">
        <v>45767</v>
      </c>
      <c r="B105" s="7">
        <v>2966.666666666667</v>
      </c>
      <c r="C105">
        <f t="shared" ref="C105:C109" si="32">+VLOOKUP(A105,$A$92:$C$98,3,0)</f>
        <v>14590</v>
      </c>
      <c r="D105" s="7">
        <f t="shared" ref="D105:D109" si="33">+B105/C105*100</f>
        <v>20.333561800319856</v>
      </c>
      <c r="I105">
        <v>0</v>
      </c>
      <c r="J105">
        <v>1000</v>
      </c>
      <c r="K105">
        <v>300</v>
      </c>
      <c r="L105">
        <v>577</v>
      </c>
      <c r="O105" s="7">
        <f t="shared" ref="O105:O109" si="34">+K105/100*D105</f>
        <v>61.000685400959568</v>
      </c>
      <c r="P105" s="7">
        <f t="shared" ref="P105:P109" si="35">+I105/100*D105</f>
        <v>0</v>
      </c>
      <c r="Q105">
        <f t="shared" ref="Q105:Q109" si="36">+J105/100*D105</f>
        <v>203.33561800319856</v>
      </c>
      <c r="R105" s="7">
        <f t="shared" ref="R105:R109" si="37">+L105/100*D105</f>
        <v>117.32465158784557</v>
      </c>
    </row>
    <row r="106" spans="1:18" x14ac:dyDescent="0.25">
      <c r="A106" s="6">
        <v>45768</v>
      </c>
      <c r="B106" s="7">
        <v>2447.5</v>
      </c>
      <c r="C106">
        <f t="shared" si="32"/>
        <v>19238.75</v>
      </c>
      <c r="D106" s="7">
        <f t="shared" si="33"/>
        <v>12.721720485998311</v>
      </c>
      <c r="I106">
        <v>0</v>
      </c>
      <c r="J106">
        <v>1000</v>
      </c>
      <c r="K106">
        <v>300</v>
      </c>
      <c r="L106">
        <v>577</v>
      </c>
      <c r="O106" s="7">
        <f t="shared" si="34"/>
        <v>38.165161457994934</v>
      </c>
      <c r="P106" s="7">
        <f t="shared" si="35"/>
        <v>0</v>
      </c>
      <c r="Q106">
        <f t="shared" si="36"/>
        <v>127.21720485998311</v>
      </c>
      <c r="R106" s="7">
        <f t="shared" si="37"/>
        <v>73.404327204210247</v>
      </c>
    </row>
    <row r="107" spans="1:18" x14ac:dyDescent="0.25">
      <c r="A107" s="6">
        <v>45769</v>
      </c>
      <c r="B107" s="7">
        <v>1437.5</v>
      </c>
      <c r="C107">
        <f t="shared" si="32"/>
        <v>18949.25</v>
      </c>
      <c r="D107" s="7">
        <f t="shared" si="33"/>
        <v>7.5860522184255323</v>
      </c>
      <c r="I107">
        <v>0</v>
      </c>
      <c r="J107">
        <v>1000</v>
      </c>
      <c r="K107">
        <v>300</v>
      </c>
      <c r="L107">
        <v>577</v>
      </c>
      <c r="O107" s="7">
        <f t="shared" si="34"/>
        <v>22.758156655276597</v>
      </c>
      <c r="P107" s="7">
        <f t="shared" si="35"/>
        <v>0</v>
      </c>
      <c r="Q107">
        <f t="shared" si="36"/>
        <v>75.860522184255331</v>
      </c>
      <c r="R107" s="7">
        <f t="shared" si="37"/>
        <v>43.771521300315321</v>
      </c>
    </row>
    <row r="108" spans="1:18" x14ac:dyDescent="0.25">
      <c r="A108" s="6">
        <v>45770</v>
      </c>
      <c r="B108" s="7">
        <v>2663.75</v>
      </c>
      <c r="C108">
        <f t="shared" si="32"/>
        <v>20783</v>
      </c>
      <c r="D108" s="7">
        <f t="shared" si="33"/>
        <v>12.816965789347062</v>
      </c>
      <c r="I108">
        <v>0</v>
      </c>
      <c r="J108">
        <v>1000</v>
      </c>
      <c r="K108">
        <v>300</v>
      </c>
      <c r="L108">
        <v>577</v>
      </c>
      <c r="O108" s="7">
        <f t="shared" si="34"/>
        <v>38.450897368041183</v>
      </c>
      <c r="P108" s="7">
        <f t="shared" si="35"/>
        <v>0</v>
      </c>
      <c r="Q108">
        <f t="shared" si="36"/>
        <v>128.16965789347063</v>
      </c>
      <c r="R108" s="7">
        <f t="shared" si="37"/>
        <v>73.953892604532541</v>
      </c>
    </row>
    <row r="109" spans="1:18" x14ac:dyDescent="0.25">
      <c r="A109" s="6">
        <v>45771</v>
      </c>
      <c r="B109" s="7">
        <v>907.5</v>
      </c>
      <c r="C109">
        <f t="shared" si="32"/>
        <v>20494.25</v>
      </c>
      <c r="D109" s="7">
        <f t="shared" si="33"/>
        <v>4.4280712882881783</v>
      </c>
      <c r="I109">
        <v>0</v>
      </c>
      <c r="J109">
        <v>1000</v>
      </c>
      <c r="K109">
        <v>300</v>
      </c>
      <c r="L109">
        <v>577</v>
      </c>
      <c r="O109" s="25">
        <f t="shared" si="34"/>
        <v>13.284213864864535</v>
      </c>
      <c r="P109" s="25">
        <f t="shared" si="35"/>
        <v>0</v>
      </c>
      <c r="Q109" s="26">
        <f t="shared" si="36"/>
        <v>44.280712882881787</v>
      </c>
      <c r="R109" s="25">
        <f t="shared" si="37"/>
        <v>25.549971333422786</v>
      </c>
    </row>
    <row r="110" spans="1:18" x14ac:dyDescent="0.25">
      <c r="O110" s="7">
        <f>+SUM(O104:O109)</f>
        <v>216.61095224601829</v>
      </c>
      <c r="P110" s="7">
        <f t="shared" ref="P110:R110" si="38">+SUM(P104:P109)</f>
        <v>0</v>
      </c>
      <c r="Q110" s="7">
        <f t="shared" si="38"/>
        <v>722.03650748672771</v>
      </c>
      <c r="R110" s="7">
        <f t="shared" si="38"/>
        <v>416.61506481984179</v>
      </c>
    </row>
    <row r="113" spans="1:18" x14ac:dyDescent="0.25">
      <c r="A113" t="s">
        <v>45</v>
      </c>
    </row>
    <row r="114" spans="1:18" x14ac:dyDescent="0.25">
      <c r="A114" s="8" t="s">
        <v>6</v>
      </c>
      <c r="B114" s="8" t="s">
        <v>46</v>
      </c>
      <c r="C114" s="22" t="s">
        <v>39</v>
      </c>
      <c r="D114" s="22" t="s">
        <v>9</v>
      </c>
      <c r="I114" s="22" t="s">
        <v>0</v>
      </c>
      <c r="J114" s="10" t="s">
        <v>1</v>
      </c>
      <c r="K114" s="10" t="s">
        <v>10</v>
      </c>
      <c r="L114" s="10" t="s">
        <v>3</v>
      </c>
      <c r="O114" s="24" t="s">
        <v>47</v>
      </c>
      <c r="P114" s="24" t="s">
        <v>0</v>
      </c>
      <c r="Q114" s="24" t="s">
        <v>1</v>
      </c>
      <c r="R114" s="24" t="s">
        <v>3</v>
      </c>
    </row>
    <row r="115" spans="1:18" x14ac:dyDescent="0.25">
      <c r="A115" s="6">
        <v>45762</v>
      </c>
      <c r="B115" s="7">
        <v>1555</v>
      </c>
      <c r="C115" s="7">
        <v>18912</v>
      </c>
      <c r="D115" s="7">
        <f>+B115/C115*100</f>
        <v>8.2222927241962775</v>
      </c>
      <c r="I115">
        <v>300</v>
      </c>
      <c r="J115">
        <v>893</v>
      </c>
      <c r="K115">
        <v>300</v>
      </c>
      <c r="L115">
        <v>0</v>
      </c>
      <c r="O115" s="7">
        <f>+K115/100*D115</f>
        <v>24.666878172588831</v>
      </c>
      <c r="P115" s="7">
        <f>+I115/100*D115</f>
        <v>24.666878172588831</v>
      </c>
      <c r="Q115">
        <f>+J115/100*D115</f>
        <v>73.425074027072753</v>
      </c>
      <c r="R115" s="7">
        <f>+L115/100*D115</f>
        <v>0</v>
      </c>
    </row>
    <row r="116" spans="1:18" x14ac:dyDescent="0.25">
      <c r="A116" s="6">
        <v>45763</v>
      </c>
      <c r="B116" s="7">
        <v>3413.75</v>
      </c>
      <c r="C116" s="7">
        <v>18307</v>
      </c>
      <c r="D116" s="7">
        <f t="shared" ref="D116:D122" si="39">+B116/C116*100</f>
        <v>18.647238761129621</v>
      </c>
      <c r="I116">
        <v>300</v>
      </c>
      <c r="J116">
        <v>893</v>
      </c>
      <c r="K116">
        <v>300</v>
      </c>
      <c r="L116">
        <v>577</v>
      </c>
      <c r="O116" s="7">
        <f t="shared" ref="O116:O122" si="40">+K116/100*D116</f>
        <v>55.941716283388864</v>
      </c>
      <c r="P116" s="7">
        <f t="shared" ref="P116:P122" si="41">+I116/100*D116</f>
        <v>55.941716283388864</v>
      </c>
      <c r="Q116">
        <f t="shared" ref="Q116:Q122" si="42">+J116/100*D116</f>
        <v>166.51984213688752</v>
      </c>
      <c r="R116" s="7">
        <f t="shared" ref="R116:R122" si="43">+L116/100*D116</f>
        <v>107.59456765171791</v>
      </c>
    </row>
    <row r="117" spans="1:18" x14ac:dyDescent="0.25">
      <c r="A117" s="6">
        <v>45764</v>
      </c>
      <c r="B117" s="7">
        <v>10300</v>
      </c>
      <c r="C117" s="7">
        <v>20230</v>
      </c>
      <c r="D117" s="7">
        <f t="shared" si="39"/>
        <v>50.914483440434999</v>
      </c>
      <c r="I117">
        <v>300</v>
      </c>
      <c r="J117">
        <v>893</v>
      </c>
      <c r="K117">
        <v>300</v>
      </c>
      <c r="L117">
        <v>577</v>
      </c>
      <c r="O117" s="7">
        <f t="shared" si="40"/>
        <v>152.743450321305</v>
      </c>
      <c r="P117" s="7">
        <f t="shared" si="41"/>
        <v>152.743450321305</v>
      </c>
      <c r="Q117">
        <f t="shared" si="42"/>
        <v>454.66633712308453</v>
      </c>
      <c r="R117" s="7">
        <f t="shared" si="43"/>
        <v>293.77656945130991</v>
      </c>
    </row>
    <row r="118" spans="1:18" x14ac:dyDescent="0.25">
      <c r="A118" s="6">
        <v>45765</v>
      </c>
      <c r="B118" s="7">
        <v>8988.75</v>
      </c>
      <c r="C118" s="7">
        <v>20366.25</v>
      </c>
      <c r="D118" s="7">
        <f t="shared" si="39"/>
        <v>44.135518320751245</v>
      </c>
      <c r="I118">
        <v>0</v>
      </c>
      <c r="J118">
        <v>1000</v>
      </c>
      <c r="K118">
        <v>300</v>
      </c>
      <c r="L118">
        <v>577</v>
      </c>
      <c r="O118" s="7">
        <f t="shared" si="40"/>
        <v>132.40655496225372</v>
      </c>
      <c r="P118" s="7">
        <f t="shared" si="41"/>
        <v>0</v>
      </c>
      <c r="Q118">
        <f t="shared" si="42"/>
        <v>441.35518320751248</v>
      </c>
      <c r="R118" s="7">
        <f t="shared" si="43"/>
        <v>254.66194071073465</v>
      </c>
    </row>
    <row r="119" spans="1:18" x14ac:dyDescent="0.25">
      <c r="A119" s="6">
        <v>45766</v>
      </c>
      <c r="B119" s="7">
        <v>7262.5</v>
      </c>
      <c r="C119" s="7">
        <v>18159.875</v>
      </c>
      <c r="D119" s="7">
        <f t="shared" si="39"/>
        <v>39.992015363541874</v>
      </c>
      <c r="I119">
        <v>0</v>
      </c>
      <c r="J119">
        <v>1000</v>
      </c>
      <c r="K119">
        <v>300</v>
      </c>
      <c r="L119">
        <v>577</v>
      </c>
      <c r="O119" s="7">
        <f t="shared" si="40"/>
        <v>119.97604609062563</v>
      </c>
      <c r="P119" s="7">
        <f t="shared" si="41"/>
        <v>0</v>
      </c>
      <c r="Q119">
        <f t="shared" si="42"/>
        <v>399.92015363541873</v>
      </c>
      <c r="R119" s="7">
        <f t="shared" si="43"/>
        <v>230.7539286476366</v>
      </c>
    </row>
    <row r="120" spans="1:18" x14ac:dyDescent="0.25">
      <c r="A120" s="6">
        <v>45767</v>
      </c>
      <c r="B120" s="7">
        <v>3286.6666666666665</v>
      </c>
      <c r="C120" s="7">
        <v>14590</v>
      </c>
      <c r="D120" s="7">
        <f t="shared" si="39"/>
        <v>22.52684487091615</v>
      </c>
      <c r="I120">
        <v>0</v>
      </c>
      <c r="J120">
        <v>1000</v>
      </c>
      <c r="K120">
        <v>300</v>
      </c>
      <c r="L120">
        <v>577</v>
      </c>
      <c r="O120" s="7">
        <f t="shared" si="40"/>
        <v>67.580534612748451</v>
      </c>
      <c r="P120" s="7">
        <f t="shared" si="41"/>
        <v>0</v>
      </c>
      <c r="Q120">
        <f t="shared" si="42"/>
        <v>225.2684487091615</v>
      </c>
      <c r="R120" s="7">
        <f t="shared" si="43"/>
        <v>129.97989490518617</v>
      </c>
    </row>
    <row r="121" spans="1:18" x14ac:dyDescent="0.25">
      <c r="A121" s="6">
        <v>45768</v>
      </c>
      <c r="B121" s="7">
        <v>2272.5</v>
      </c>
      <c r="C121" s="7">
        <v>19238.75</v>
      </c>
      <c r="D121" s="7">
        <f t="shared" si="39"/>
        <v>11.812097979338574</v>
      </c>
      <c r="I121">
        <v>0</v>
      </c>
      <c r="J121">
        <v>1000</v>
      </c>
      <c r="K121">
        <v>300</v>
      </c>
      <c r="L121">
        <v>577</v>
      </c>
      <c r="O121" s="7">
        <f t="shared" si="40"/>
        <v>35.436293938015723</v>
      </c>
      <c r="P121" s="7">
        <f t="shared" si="41"/>
        <v>0</v>
      </c>
      <c r="Q121">
        <f t="shared" si="42"/>
        <v>118.12097979338574</v>
      </c>
      <c r="R121" s="7">
        <f t="shared" si="43"/>
        <v>68.155805340783573</v>
      </c>
    </row>
    <row r="122" spans="1:18" x14ac:dyDescent="0.25">
      <c r="A122" s="6">
        <v>45769</v>
      </c>
      <c r="B122" s="7">
        <v>350</v>
      </c>
      <c r="C122" s="7">
        <v>18949.25</v>
      </c>
      <c r="D122" s="7">
        <f t="shared" si="39"/>
        <v>1.8470388010079557</v>
      </c>
      <c r="I122">
        <v>0</v>
      </c>
      <c r="J122">
        <v>1000</v>
      </c>
      <c r="K122">
        <v>300</v>
      </c>
      <c r="L122">
        <v>577</v>
      </c>
      <c r="O122" s="25">
        <f t="shared" si="40"/>
        <v>5.5411164030238673</v>
      </c>
      <c r="P122" s="25">
        <f t="shared" si="41"/>
        <v>0</v>
      </c>
      <c r="Q122" s="26">
        <f t="shared" si="42"/>
        <v>18.470388010079557</v>
      </c>
      <c r="R122" s="25">
        <f t="shared" si="43"/>
        <v>10.657413881815904</v>
      </c>
    </row>
    <row r="123" spans="1:18" x14ac:dyDescent="0.25">
      <c r="O123" s="7">
        <f>+SUM(O115:O122)</f>
        <v>594.29259078395012</v>
      </c>
      <c r="P123" s="7">
        <f t="shared" ref="P123:R123" si="44">+SUM(P115:P122)</f>
        <v>233.35204477728269</v>
      </c>
      <c r="Q123" s="7">
        <f t="shared" si="44"/>
        <v>1897.7464066426028</v>
      </c>
      <c r="R123" s="7">
        <f t="shared" si="44"/>
        <v>1095.5801205891848</v>
      </c>
    </row>
    <row r="125" spans="1:18" x14ac:dyDescent="0.25">
      <c r="A125" s="27" t="s">
        <v>6</v>
      </c>
      <c r="B125" s="27" t="s">
        <v>48</v>
      </c>
      <c r="C125" s="22" t="s">
        <v>39</v>
      </c>
      <c r="D125" s="22" t="s">
        <v>9</v>
      </c>
      <c r="I125" s="22" t="s">
        <v>0</v>
      </c>
      <c r="J125" s="10" t="s">
        <v>1</v>
      </c>
      <c r="K125" s="10" t="s">
        <v>10</v>
      </c>
      <c r="L125" s="10" t="s">
        <v>3</v>
      </c>
      <c r="O125" s="24" t="s">
        <v>40</v>
      </c>
      <c r="P125" s="24" t="s">
        <v>0</v>
      </c>
      <c r="Q125" s="24" t="s">
        <v>1</v>
      </c>
      <c r="R125" s="24" t="s">
        <v>3</v>
      </c>
    </row>
    <row r="126" spans="1:18" x14ac:dyDescent="0.25">
      <c r="A126" s="6">
        <v>45751</v>
      </c>
      <c r="B126" s="7">
        <v>391.25</v>
      </c>
      <c r="C126" s="7">
        <v>21612</v>
      </c>
      <c r="D126" s="7">
        <f t="shared" ref="D126:D140" si="45">+B126/C126*100</f>
        <v>1.8103368498982049</v>
      </c>
      <c r="I126">
        <v>893</v>
      </c>
      <c r="J126">
        <f>+VLOOKUP(A126,$A$30:$L$43,12,0)</f>
        <v>630</v>
      </c>
      <c r="K126">
        <v>300</v>
      </c>
      <c r="L126">
        <v>577</v>
      </c>
      <c r="O126" s="7">
        <f t="shared" ref="O126" si="46">+K126/100*D126</f>
        <v>5.4310105496946148</v>
      </c>
      <c r="P126" s="7">
        <f t="shared" ref="P126" si="47">+I126/100*D126</f>
        <v>16.166308069590968</v>
      </c>
      <c r="Q126">
        <f t="shared" ref="Q126" si="48">+J126/100*D126</f>
        <v>11.40512215435869</v>
      </c>
      <c r="R126" s="7">
        <f t="shared" ref="R126" si="49">+L126/100*D126</f>
        <v>10.445643623912641</v>
      </c>
    </row>
    <row r="127" spans="1:18" x14ac:dyDescent="0.25">
      <c r="A127" s="6">
        <v>45752</v>
      </c>
      <c r="B127" s="7">
        <v>4947.5</v>
      </c>
      <c r="C127" s="7">
        <v>21954</v>
      </c>
      <c r="D127" s="7">
        <f t="shared" si="45"/>
        <v>22.535756581944064</v>
      </c>
      <c r="I127">
        <v>893</v>
      </c>
      <c r="J127">
        <f t="shared" ref="J127:J134" si="50">+VLOOKUP(A127,$A$30:$L$43,12,0)</f>
        <v>630</v>
      </c>
      <c r="K127">
        <v>300</v>
      </c>
      <c r="L127">
        <v>577</v>
      </c>
      <c r="O127" s="7">
        <f t="shared" ref="O127:O140" si="51">+K127/100*D127</f>
        <v>67.607269745832184</v>
      </c>
      <c r="P127" s="7">
        <f t="shared" ref="P127:P140" si="52">+I127/100*D127</f>
        <v>201.24430627676048</v>
      </c>
      <c r="Q127">
        <f t="shared" ref="Q127:Q140" si="53">+J127/100*D127</f>
        <v>141.9752664662476</v>
      </c>
      <c r="R127" s="7">
        <f t="shared" ref="R127:R140" si="54">+L127/100*D127</f>
        <v>130.03131547781723</v>
      </c>
    </row>
    <row r="128" spans="1:18" x14ac:dyDescent="0.25">
      <c r="A128" s="6">
        <v>45753</v>
      </c>
      <c r="B128" s="7">
        <v>5320</v>
      </c>
      <c r="C128" s="7">
        <v>15988.571428571428</v>
      </c>
      <c r="D128" s="7">
        <f t="shared" si="45"/>
        <v>33.273766976411721</v>
      </c>
      <c r="I128">
        <v>893</v>
      </c>
      <c r="J128">
        <v>630</v>
      </c>
      <c r="K128">
        <v>300</v>
      </c>
      <c r="L128">
        <v>577</v>
      </c>
      <c r="O128" s="7">
        <f t="shared" si="51"/>
        <v>99.821300929235164</v>
      </c>
      <c r="P128" s="7">
        <f t="shared" si="52"/>
        <v>297.13473909935664</v>
      </c>
      <c r="Q128">
        <f t="shared" si="53"/>
        <v>209.62473195139384</v>
      </c>
      <c r="R128" s="7">
        <f t="shared" si="54"/>
        <v>191.98963545389563</v>
      </c>
    </row>
    <row r="129" spans="1:18" x14ac:dyDescent="0.25">
      <c r="A129" s="6">
        <v>45754</v>
      </c>
      <c r="B129" s="7">
        <v>8888</v>
      </c>
      <c r="C129" s="7">
        <v>20359.388888888891</v>
      </c>
      <c r="D129" s="7">
        <f t="shared" si="45"/>
        <v>43.655534301673541</v>
      </c>
      <c r="I129">
        <v>893</v>
      </c>
      <c r="J129">
        <f t="shared" si="50"/>
        <v>630</v>
      </c>
      <c r="K129">
        <v>300</v>
      </c>
      <c r="L129">
        <v>577</v>
      </c>
      <c r="O129" s="7">
        <f t="shared" si="51"/>
        <v>130.96660290502064</v>
      </c>
      <c r="P129" s="7">
        <f t="shared" si="52"/>
        <v>389.84392131394469</v>
      </c>
      <c r="Q129">
        <f t="shared" si="53"/>
        <v>275.0298661005433</v>
      </c>
      <c r="R129" s="7">
        <f t="shared" si="54"/>
        <v>251.89243292065632</v>
      </c>
    </row>
    <row r="130" spans="1:18" x14ac:dyDescent="0.25">
      <c r="A130" s="6">
        <v>45755</v>
      </c>
      <c r="B130" s="7">
        <v>7216.25</v>
      </c>
      <c r="C130" s="7">
        <v>21300.2</v>
      </c>
      <c r="D130" s="7">
        <f t="shared" si="45"/>
        <v>33.878789870517643</v>
      </c>
      <c r="I130">
        <v>893</v>
      </c>
      <c r="J130">
        <f t="shared" si="50"/>
        <v>630</v>
      </c>
      <c r="K130">
        <v>300</v>
      </c>
      <c r="L130">
        <v>577</v>
      </c>
      <c r="O130" s="7">
        <f t="shared" si="51"/>
        <v>101.63636961155294</v>
      </c>
      <c r="P130" s="7">
        <f t="shared" si="52"/>
        <v>302.53759354372255</v>
      </c>
      <c r="Q130">
        <f t="shared" si="53"/>
        <v>213.43637618426115</v>
      </c>
      <c r="R130" s="7">
        <f t="shared" si="54"/>
        <v>195.4806175528868</v>
      </c>
    </row>
    <row r="131" spans="1:18" x14ac:dyDescent="0.25">
      <c r="A131" s="6">
        <v>45756</v>
      </c>
      <c r="B131" s="7">
        <v>5015</v>
      </c>
      <c r="C131" s="7">
        <v>20744</v>
      </c>
      <c r="D131" s="7">
        <f t="shared" si="45"/>
        <v>24.175665252603164</v>
      </c>
      <c r="I131">
        <v>0</v>
      </c>
      <c r="J131">
        <f t="shared" si="50"/>
        <v>630</v>
      </c>
      <c r="K131">
        <v>0</v>
      </c>
      <c r="L131">
        <v>577</v>
      </c>
      <c r="O131" s="7">
        <f t="shared" si="51"/>
        <v>0</v>
      </c>
      <c r="P131" s="7">
        <f t="shared" si="52"/>
        <v>0</v>
      </c>
      <c r="Q131">
        <f t="shared" si="53"/>
        <v>152.30669109139993</v>
      </c>
      <c r="R131" s="7">
        <f t="shared" si="54"/>
        <v>139.49358850752026</v>
      </c>
    </row>
    <row r="132" spans="1:18" x14ac:dyDescent="0.25">
      <c r="A132" s="6">
        <v>45757</v>
      </c>
      <c r="B132" s="7">
        <v>4580</v>
      </c>
      <c r="C132" s="7">
        <v>22158</v>
      </c>
      <c r="D132" s="7">
        <f t="shared" si="45"/>
        <v>20.669735535698166</v>
      </c>
      <c r="I132">
        <v>893</v>
      </c>
      <c r="J132">
        <f t="shared" si="50"/>
        <v>630</v>
      </c>
      <c r="K132">
        <v>300</v>
      </c>
      <c r="L132">
        <v>577</v>
      </c>
      <c r="O132" s="7">
        <f t="shared" si="51"/>
        <v>62.009206607094498</v>
      </c>
      <c r="P132" s="7">
        <f t="shared" si="52"/>
        <v>184.58073833378461</v>
      </c>
      <c r="Q132">
        <f t="shared" si="53"/>
        <v>130.21933387489844</v>
      </c>
      <c r="R132" s="7">
        <f t="shared" si="54"/>
        <v>119.26437404097841</v>
      </c>
    </row>
    <row r="133" spans="1:18" x14ac:dyDescent="0.25">
      <c r="A133" s="6">
        <v>45758</v>
      </c>
      <c r="B133" s="7">
        <v>2368.75</v>
      </c>
      <c r="C133" s="7">
        <v>20984.400000000001</v>
      </c>
      <c r="D133" s="7">
        <f t="shared" si="45"/>
        <v>11.288147385676977</v>
      </c>
      <c r="I133">
        <v>893</v>
      </c>
      <c r="J133">
        <f t="shared" si="50"/>
        <v>630</v>
      </c>
      <c r="K133">
        <v>300</v>
      </c>
      <c r="L133">
        <v>577</v>
      </c>
      <c r="O133" s="7">
        <f t="shared" si="51"/>
        <v>33.864442157030929</v>
      </c>
      <c r="P133" s="7">
        <f t="shared" si="52"/>
        <v>100.8031561540954</v>
      </c>
      <c r="Q133">
        <f t="shared" si="53"/>
        <v>71.115328529764952</v>
      </c>
      <c r="R133" s="7">
        <f t="shared" si="54"/>
        <v>65.132610415356154</v>
      </c>
    </row>
    <row r="134" spans="1:18" x14ac:dyDescent="0.25">
      <c r="A134" s="6">
        <v>45759</v>
      </c>
      <c r="B134" s="7">
        <v>573.75</v>
      </c>
      <c r="C134" s="7">
        <v>15960</v>
      </c>
      <c r="D134" s="7">
        <f t="shared" si="45"/>
        <v>3.594924812030075</v>
      </c>
      <c r="I134">
        <v>893</v>
      </c>
      <c r="J134">
        <f t="shared" si="50"/>
        <v>630</v>
      </c>
      <c r="K134">
        <v>300</v>
      </c>
      <c r="L134">
        <v>577</v>
      </c>
      <c r="O134" s="7">
        <f t="shared" si="51"/>
        <v>10.784774436090224</v>
      </c>
      <c r="P134" s="7">
        <f t="shared" si="52"/>
        <v>32.102678571428569</v>
      </c>
      <c r="Q134">
        <f t="shared" si="53"/>
        <v>22.648026315789473</v>
      </c>
      <c r="R134" s="7">
        <f t="shared" si="54"/>
        <v>20.74271616541353</v>
      </c>
    </row>
    <row r="135" spans="1:18" x14ac:dyDescent="0.25">
      <c r="A135" s="6">
        <v>45761</v>
      </c>
      <c r="B135" s="7">
        <v>977.5</v>
      </c>
      <c r="C135" s="7">
        <v>16912</v>
      </c>
      <c r="D135" s="7">
        <f t="shared" si="45"/>
        <v>5.7799195837275308</v>
      </c>
      <c r="I135">
        <v>893</v>
      </c>
      <c r="J135">
        <v>630</v>
      </c>
      <c r="K135">
        <v>0</v>
      </c>
      <c r="L135">
        <v>577</v>
      </c>
      <c r="O135" s="7">
        <f t="shared" si="51"/>
        <v>0</v>
      </c>
      <c r="P135" s="7">
        <f t="shared" si="52"/>
        <v>51.614681882686845</v>
      </c>
      <c r="Q135">
        <f t="shared" si="53"/>
        <v>36.413493377483441</v>
      </c>
      <c r="R135" s="7">
        <f t="shared" si="54"/>
        <v>33.350135998107852</v>
      </c>
    </row>
    <row r="136" spans="1:18" x14ac:dyDescent="0.25">
      <c r="A136" s="6">
        <v>45762</v>
      </c>
      <c r="B136" s="7">
        <v>122.5</v>
      </c>
      <c r="C136" s="7">
        <v>18912</v>
      </c>
      <c r="D136" s="7">
        <f t="shared" si="45"/>
        <v>0.64773688663282569</v>
      </c>
      <c r="I136">
        <v>893</v>
      </c>
      <c r="J136">
        <v>630</v>
      </c>
      <c r="K136">
        <v>300</v>
      </c>
      <c r="L136">
        <v>0</v>
      </c>
      <c r="O136" s="7">
        <f t="shared" si="51"/>
        <v>1.9432106598984771</v>
      </c>
      <c r="P136" s="7">
        <f t="shared" si="52"/>
        <v>5.7842903976311328</v>
      </c>
      <c r="Q136">
        <f t="shared" si="53"/>
        <v>4.0807423857868015</v>
      </c>
      <c r="R136" s="7">
        <f t="shared" si="54"/>
        <v>0</v>
      </c>
    </row>
    <row r="137" spans="1:18" x14ac:dyDescent="0.25">
      <c r="A137" s="6">
        <v>45768</v>
      </c>
      <c r="B137" s="7">
        <v>605</v>
      </c>
      <c r="C137" s="7">
        <v>19238.75</v>
      </c>
      <c r="D137" s="7">
        <f t="shared" si="45"/>
        <v>3.1446949515950879</v>
      </c>
      <c r="I137">
        <v>0</v>
      </c>
      <c r="J137">
        <v>1000</v>
      </c>
      <c r="K137">
        <v>300</v>
      </c>
      <c r="L137">
        <v>577</v>
      </c>
      <c r="O137" s="7">
        <f t="shared" si="51"/>
        <v>9.4340848547852634</v>
      </c>
      <c r="P137" s="7">
        <f t="shared" si="52"/>
        <v>0</v>
      </c>
      <c r="Q137">
        <f t="shared" si="53"/>
        <v>31.44694951595088</v>
      </c>
      <c r="R137" s="7">
        <f t="shared" si="54"/>
        <v>18.144889870703658</v>
      </c>
    </row>
    <row r="138" spans="1:18" x14ac:dyDescent="0.25">
      <c r="A138" s="6">
        <v>45769</v>
      </c>
      <c r="B138" s="7">
        <v>605</v>
      </c>
      <c r="C138" s="7">
        <v>18949.25</v>
      </c>
      <c r="D138" s="7">
        <f t="shared" si="45"/>
        <v>3.1927384988851801</v>
      </c>
      <c r="I138">
        <v>0</v>
      </c>
      <c r="J138">
        <v>1000</v>
      </c>
      <c r="K138">
        <v>300</v>
      </c>
      <c r="L138">
        <v>577</v>
      </c>
      <c r="O138" s="7">
        <f t="shared" si="51"/>
        <v>9.57821549665554</v>
      </c>
      <c r="P138" s="7">
        <f t="shared" si="52"/>
        <v>0</v>
      </c>
      <c r="Q138">
        <f t="shared" si="53"/>
        <v>31.927384988851802</v>
      </c>
      <c r="R138" s="7">
        <f t="shared" si="54"/>
        <v>18.422101138567488</v>
      </c>
    </row>
    <row r="139" spans="1:18" x14ac:dyDescent="0.25">
      <c r="A139" s="6">
        <v>45770</v>
      </c>
      <c r="B139" s="7">
        <v>605</v>
      </c>
      <c r="C139" s="7">
        <v>20783</v>
      </c>
      <c r="D139" s="7">
        <f t="shared" si="45"/>
        <v>2.9110330558629651</v>
      </c>
      <c r="I139">
        <v>0</v>
      </c>
      <c r="J139">
        <v>1000</v>
      </c>
      <c r="K139">
        <v>300</v>
      </c>
      <c r="L139">
        <v>577</v>
      </c>
      <c r="O139" s="7">
        <f t="shared" si="51"/>
        <v>8.7330991675888949</v>
      </c>
      <c r="P139" s="7">
        <f t="shared" si="52"/>
        <v>0</v>
      </c>
      <c r="Q139">
        <f t="shared" si="53"/>
        <v>29.110330558629652</v>
      </c>
      <c r="R139" s="7">
        <f t="shared" si="54"/>
        <v>16.796660732329308</v>
      </c>
    </row>
    <row r="140" spans="1:18" x14ac:dyDescent="0.25">
      <c r="A140" s="28">
        <v>45771</v>
      </c>
      <c r="B140" s="25">
        <v>605</v>
      </c>
      <c r="C140" s="25">
        <v>20494.25</v>
      </c>
      <c r="D140" s="25">
        <f t="shared" si="45"/>
        <v>2.9520475255254524</v>
      </c>
      <c r="I140">
        <v>0</v>
      </c>
      <c r="J140">
        <v>1000</v>
      </c>
      <c r="K140">
        <v>300</v>
      </c>
      <c r="L140">
        <v>577</v>
      </c>
      <c r="O140" s="25">
        <f t="shared" si="51"/>
        <v>8.8561425765763566</v>
      </c>
      <c r="P140" s="25">
        <f t="shared" si="52"/>
        <v>0</v>
      </c>
      <c r="Q140" s="26">
        <f t="shared" si="53"/>
        <v>29.520475255254524</v>
      </c>
      <c r="R140" s="25">
        <f t="shared" si="54"/>
        <v>17.033314222281859</v>
      </c>
    </row>
    <row r="141" spans="1:18" x14ac:dyDescent="0.25">
      <c r="B141" s="7">
        <f>+SUM(B126:B140)</f>
        <v>42820.5</v>
      </c>
      <c r="C141" s="7">
        <f t="shared" ref="C141:D141" si="55">+SUM(C126:C140)</f>
        <v>296349.81031746033</v>
      </c>
      <c r="D141" s="7">
        <f t="shared" si="55"/>
        <v>213.51082806868254</v>
      </c>
      <c r="O141" s="7">
        <f>+SUM(O126:O140)</f>
        <v>550.66572969705555</v>
      </c>
      <c r="P141" s="7">
        <f t="shared" ref="P141:R141" si="56">+SUM(P126:P140)</f>
        <v>1581.8124136430022</v>
      </c>
      <c r="Q141" s="7">
        <f t="shared" si="56"/>
        <v>1390.2601187506145</v>
      </c>
      <c r="R141" s="7">
        <f t="shared" si="56"/>
        <v>1228.2200361204273</v>
      </c>
    </row>
    <row r="145" spans="1:18" x14ac:dyDescent="0.25">
      <c r="A145" s="29" t="s">
        <v>6</v>
      </c>
      <c r="B145" s="29" t="s">
        <v>49</v>
      </c>
      <c r="C145" s="22" t="s">
        <v>50</v>
      </c>
      <c r="D145" s="22" t="s">
        <v>9</v>
      </c>
      <c r="J145" t="s">
        <v>1</v>
      </c>
      <c r="K145" t="s">
        <v>5</v>
      </c>
      <c r="N145" t="s">
        <v>5</v>
      </c>
      <c r="O145" t="s">
        <v>3</v>
      </c>
      <c r="Q145" t="s">
        <v>1</v>
      </c>
      <c r="R145" t="s">
        <v>3</v>
      </c>
    </row>
    <row r="146" spans="1:18" x14ac:dyDescent="0.25">
      <c r="A146" s="30">
        <v>45753</v>
      </c>
      <c r="B146">
        <v>81.666666666666671</v>
      </c>
      <c r="C146" s="7">
        <f>+VLOOKUP(A146,$A$126:$C$140,3,0)</f>
        <v>15988.571428571428</v>
      </c>
      <c r="D146" s="7">
        <f t="shared" ref="D146:D160" si="57">+B146/C146*100</f>
        <v>0.51078151060281163</v>
      </c>
      <c r="G146">
        <f>27000/30</f>
        <v>900</v>
      </c>
      <c r="H146">
        <f>+G146/9.5</f>
        <v>94.736842105263165</v>
      </c>
      <c r="I146">
        <v>9.5</v>
      </c>
      <c r="J146" s="12">
        <f>+I146*H146</f>
        <v>900.00000000000011</v>
      </c>
      <c r="L146">
        <f>15000/30</f>
        <v>500</v>
      </c>
      <c r="M146">
        <f>+L146/9.5</f>
        <v>52.631578947368418</v>
      </c>
      <c r="N146">
        <v>0</v>
      </c>
      <c r="O146" s="12">
        <f>+M146*N146</f>
        <v>0</v>
      </c>
      <c r="Q146" s="12">
        <f>+J146/100*D146</f>
        <v>4.5970335954253052</v>
      </c>
      <c r="R146" s="12">
        <f>+O146/100*D146</f>
        <v>0</v>
      </c>
    </row>
    <row r="147" spans="1:18" x14ac:dyDescent="0.25">
      <c r="A147" s="30">
        <v>45754</v>
      </c>
      <c r="B147">
        <v>1213.75</v>
      </c>
      <c r="C147" s="7">
        <f t="shared" ref="C147:C154" si="58">+VLOOKUP(A147,$A$126:$C$140,3,0)</f>
        <v>20359.388888888891</v>
      </c>
      <c r="D147" s="7">
        <f t="shared" si="57"/>
        <v>5.9616229476435922</v>
      </c>
      <c r="G147">
        <f t="shared" ref="G147:G159" si="59">27000/30</f>
        <v>900</v>
      </c>
      <c r="H147">
        <f t="shared" ref="H147:H159" si="60">+G147/9.5</f>
        <v>94.736842105263165</v>
      </c>
      <c r="I147">
        <v>12</v>
      </c>
      <c r="J147" s="12">
        <f t="shared" ref="J147:J159" si="61">+I147*H147</f>
        <v>1136.8421052631579</v>
      </c>
      <c r="L147">
        <f t="shared" ref="L147:L159" si="62">15000/30</f>
        <v>500</v>
      </c>
      <c r="M147">
        <f t="shared" ref="M147:M159" si="63">+L147/9.5</f>
        <v>52.631578947368418</v>
      </c>
      <c r="N147">
        <v>12</v>
      </c>
      <c r="O147" s="12">
        <f t="shared" ref="O147:O159" si="64">+M147*N147</f>
        <v>631.57894736842104</v>
      </c>
      <c r="Q147" s="12">
        <f t="shared" ref="Q147:Q159" si="65">+J147/100*D147</f>
        <v>67.77423982584294</v>
      </c>
      <c r="R147" s="12">
        <f t="shared" ref="R147:R159" si="66">+O147/100*D147</f>
        <v>37.652355458801637</v>
      </c>
    </row>
    <row r="148" spans="1:18" x14ac:dyDescent="0.25">
      <c r="A148" s="30">
        <v>45755</v>
      </c>
      <c r="B148">
        <v>4570</v>
      </c>
      <c r="C148" s="7">
        <f t="shared" si="58"/>
        <v>21300.2</v>
      </c>
      <c r="D148" s="7">
        <f t="shared" si="57"/>
        <v>21.455197603778366</v>
      </c>
      <c r="G148">
        <f t="shared" si="59"/>
        <v>900</v>
      </c>
      <c r="H148">
        <f t="shared" si="60"/>
        <v>94.736842105263165</v>
      </c>
      <c r="I148">
        <v>12.5</v>
      </c>
      <c r="J148" s="12">
        <f t="shared" si="61"/>
        <v>1184.2105263157896</v>
      </c>
      <c r="L148">
        <f t="shared" si="62"/>
        <v>500</v>
      </c>
      <c r="M148">
        <f t="shared" si="63"/>
        <v>52.631578947368418</v>
      </c>
      <c r="N148">
        <v>12.5</v>
      </c>
      <c r="O148" s="12">
        <f t="shared" si="64"/>
        <v>657.8947368421052</v>
      </c>
      <c r="Q148" s="12">
        <f t="shared" si="65"/>
        <v>254.07470846579645</v>
      </c>
      <c r="R148" s="12">
        <f t="shared" si="66"/>
        <v>141.15261581433134</v>
      </c>
    </row>
    <row r="149" spans="1:18" x14ac:dyDescent="0.25">
      <c r="A149" s="30">
        <v>45756</v>
      </c>
      <c r="B149">
        <v>4320</v>
      </c>
      <c r="C149" s="7">
        <f t="shared" si="58"/>
        <v>20744</v>
      </c>
      <c r="D149" s="7">
        <f t="shared" si="57"/>
        <v>20.825298881604322</v>
      </c>
      <c r="G149">
        <f t="shared" si="59"/>
        <v>900</v>
      </c>
      <c r="H149">
        <f t="shared" si="60"/>
        <v>94.736842105263165</v>
      </c>
      <c r="I149">
        <v>13</v>
      </c>
      <c r="J149" s="12">
        <f t="shared" si="61"/>
        <v>1231.578947368421</v>
      </c>
      <c r="L149">
        <f t="shared" si="62"/>
        <v>500</v>
      </c>
      <c r="M149">
        <f t="shared" si="63"/>
        <v>52.631578947368418</v>
      </c>
      <c r="N149">
        <v>12</v>
      </c>
      <c r="O149" s="12">
        <f t="shared" si="64"/>
        <v>631.57894736842104</v>
      </c>
      <c r="Q149" s="12">
        <f t="shared" si="65"/>
        <v>256.47999675239009</v>
      </c>
      <c r="R149" s="12">
        <f t="shared" si="66"/>
        <v>131.52820346276414</v>
      </c>
    </row>
    <row r="150" spans="1:18" x14ac:dyDescent="0.25">
      <c r="A150" s="30">
        <v>45757</v>
      </c>
      <c r="B150">
        <v>4771.25</v>
      </c>
      <c r="C150" s="7">
        <f t="shared" si="58"/>
        <v>22158</v>
      </c>
      <c r="D150" s="7">
        <f t="shared" si="57"/>
        <v>21.532854950807835</v>
      </c>
      <c r="G150">
        <f t="shared" si="59"/>
        <v>900</v>
      </c>
      <c r="H150">
        <f t="shared" si="60"/>
        <v>94.736842105263165</v>
      </c>
      <c r="I150">
        <v>12</v>
      </c>
      <c r="J150" s="12">
        <f t="shared" si="61"/>
        <v>1136.8421052631579</v>
      </c>
      <c r="L150">
        <f t="shared" si="62"/>
        <v>500</v>
      </c>
      <c r="M150">
        <f t="shared" si="63"/>
        <v>52.631578947368418</v>
      </c>
      <c r="N150">
        <v>12.2</v>
      </c>
      <c r="O150" s="12">
        <f t="shared" si="64"/>
        <v>642.10526315789468</v>
      </c>
      <c r="Q150" s="12">
        <f t="shared" si="65"/>
        <v>244.7945615460259</v>
      </c>
      <c r="R150" s="12">
        <f t="shared" si="66"/>
        <v>138.2635949472924</v>
      </c>
    </row>
    <row r="151" spans="1:18" x14ac:dyDescent="0.25">
      <c r="A151" s="30">
        <v>45758</v>
      </c>
      <c r="B151">
        <v>4487.5</v>
      </c>
      <c r="C151" s="7">
        <f t="shared" si="58"/>
        <v>20984.400000000001</v>
      </c>
      <c r="D151" s="7">
        <f t="shared" si="57"/>
        <v>21.384933569699392</v>
      </c>
      <c r="G151">
        <f t="shared" si="59"/>
        <v>900</v>
      </c>
      <c r="H151">
        <f t="shared" si="60"/>
        <v>94.736842105263165</v>
      </c>
      <c r="I151">
        <v>10</v>
      </c>
      <c r="J151" s="12">
        <f t="shared" si="61"/>
        <v>947.36842105263167</v>
      </c>
      <c r="L151">
        <f t="shared" si="62"/>
        <v>500</v>
      </c>
      <c r="M151">
        <f t="shared" si="63"/>
        <v>52.631578947368418</v>
      </c>
      <c r="N151">
        <v>12</v>
      </c>
      <c r="O151" s="12">
        <f t="shared" si="64"/>
        <v>631.57894736842104</v>
      </c>
      <c r="Q151" s="12">
        <f t="shared" si="65"/>
        <v>202.59410750241531</v>
      </c>
      <c r="R151" s="12">
        <f t="shared" si="66"/>
        <v>135.06273833494353</v>
      </c>
    </row>
    <row r="152" spans="1:18" x14ac:dyDescent="0.25">
      <c r="A152" s="30">
        <v>45759</v>
      </c>
      <c r="B152">
        <v>4012.5</v>
      </c>
      <c r="C152" s="7">
        <f t="shared" si="58"/>
        <v>15960</v>
      </c>
      <c r="D152" s="7">
        <f t="shared" si="57"/>
        <v>25.140977443609025</v>
      </c>
      <c r="G152">
        <f t="shared" si="59"/>
        <v>900</v>
      </c>
      <c r="H152">
        <f t="shared" si="60"/>
        <v>94.736842105263165</v>
      </c>
      <c r="I152">
        <v>9.8000000000000007</v>
      </c>
      <c r="J152" s="12">
        <f t="shared" si="61"/>
        <v>928.42105263157907</v>
      </c>
      <c r="L152">
        <f t="shared" si="62"/>
        <v>500</v>
      </c>
      <c r="M152">
        <f t="shared" si="63"/>
        <v>52.631578947368418</v>
      </c>
      <c r="N152">
        <v>9</v>
      </c>
      <c r="O152" s="12">
        <f t="shared" si="64"/>
        <v>473.68421052631578</v>
      </c>
      <c r="Q152" s="12">
        <f t="shared" si="65"/>
        <v>233.41412742382278</v>
      </c>
      <c r="R152" s="12">
        <f t="shared" si="66"/>
        <v>119.08884052235852</v>
      </c>
    </row>
    <row r="153" spans="1:18" x14ac:dyDescent="0.25">
      <c r="A153" s="30">
        <v>45761</v>
      </c>
      <c r="B153">
        <v>5175</v>
      </c>
      <c r="C153" s="7">
        <f t="shared" si="58"/>
        <v>16912</v>
      </c>
      <c r="D153" s="7">
        <f t="shared" si="57"/>
        <v>30.599574266792811</v>
      </c>
      <c r="G153">
        <f t="shared" si="59"/>
        <v>900</v>
      </c>
      <c r="H153">
        <f t="shared" si="60"/>
        <v>94.736842105263165</v>
      </c>
      <c r="I153">
        <v>11</v>
      </c>
      <c r="J153" s="12">
        <f t="shared" si="61"/>
        <v>1042.1052631578948</v>
      </c>
      <c r="L153">
        <f t="shared" si="62"/>
        <v>500</v>
      </c>
      <c r="M153">
        <f t="shared" si="63"/>
        <v>52.631578947368418</v>
      </c>
      <c r="N153">
        <v>12</v>
      </c>
      <c r="O153" s="12">
        <f t="shared" si="64"/>
        <v>631.57894736842104</v>
      </c>
      <c r="Q153" s="12">
        <f t="shared" si="65"/>
        <v>318.87977393815669</v>
      </c>
      <c r="R153" s="12">
        <f t="shared" si="66"/>
        <v>193.26046905342827</v>
      </c>
    </row>
    <row r="154" spans="1:18" x14ac:dyDescent="0.25">
      <c r="A154" s="30">
        <v>45762</v>
      </c>
      <c r="B154">
        <v>1766.25</v>
      </c>
      <c r="C154" s="7">
        <f t="shared" si="58"/>
        <v>18912</v>
      </c>
      <c r="D154" s="7">
        <f t="shared" si="57"/>
        <v>9.3393083756345181</v>
      </c>
      <c r="G154">
        <f t="shared" si="59"/>
        <v>900</v>
      </c>
      <c r="H154">
        <f t="shared" si="60"/>
        <v>94.736842105263165</v>
      </c>
      <c r="I154">
        <v>12</v>
      </c>
      <c r="J154" s="12">
        <f t="shared" si="61"/>
        <v>1136.8421052631579</v>
      </c>
      <c r="L154">
        <f t="shared" si="62"/>
        <v>500</v>
      </c>
      <c r="M154">
        <f t="shared" si="63"/>
        <v>52.631578947368418</v>
      </c>
      <c r="N154">
        <v>0</v>
      </c>
      <c r="O154" s="12">
        <f t="shared" si="64"/>
        <v>0</v>
      </c>
      <c r="Q154" s="12">
        <f t="shared" si="65"/>
        <v>106.17318995458189</v>
      </c>
      <c r="R154" s="12">
        <f t="shared" si="66"/>
        <v>0</v>
      </c>
    </row>
    <row r="155" spans="1:18" x14ac:dyDescent="0.25">
      <c r="A155" s="30">
        <v>45763</v>
      </c>
      <c r="B155">
        <v>4041.25</v>
      </c>
      <c r="C155" s="7">
        <f>+VLOOKUP(A155,$A$115:$C$122,3,0)</f>
        <v>18307</v>
      </c>
      <c r="D155" s="7">
        <f t="shared" si="57"/>
        <v>22.074889386573442</v>
      </c>
      <c r="G155">
        <f t="shared" si="59"/>
        <v>900</v>
      </c>
      <c r="H155">
        <f t="shared" si="60"/>
        <v>94.736842105263165</v>
      </c>
      <c r="I155">
        <v>9.5</v>
      </c>
      <c r="J155" s="12">
        <f t="shared" si="61"/>
        <v>900.00000000000011</v>
      </c>
      <c r="L155">
        <f t="shared" si="62"/>
        <v>500</v>
      </c>
      <c r="M155">
        <f t="shared" si="63"/>
        <v>52.631578947368418</v>
      </c>
      <c r="N155">
        <v>12</v>
      </c>
      <c r="O155" s="12">
        <f t="shared" si="64"/>
        <v>631.57894736842104</v>
      </c>
      <c r="Q155" s="12">
        <f t="shared" si="65"/>
        <v>198.67400447916103</v>
      </c>
      <c r="R155" s="12">
        <f t="shared" si="66"/>
        <v>139.42035402046386</v>
      </c>
    </row>
    <row r="156" spans="1:18" x14ac:dyDescent="0.25">
      <c r="A156" s="30">
        <v>45764</v>
      </c>
      <c r="B156">
        <v>1706.25</v>
      </c>
      <c r="C156" s="7">
        <f t="shared" ref="C156:C157" si="67">+VLOOKUP(A156,$A$115:$C$122,3,0)</f>
        <v>20230</v>
      </c>
      <c r="D156" s="7">
        <f t="shared" si="57"/>
        <v>8.4342560553633223</v>
      </c>
      <c r="G156">
        <f t="shared" si="59"/>
        <v>900</v>
      </c>
      <c r="H156">
        <f t="shared" si="60"/>
        <v>94.736842105263165</v>
      </c>
      <c r="I156">
        <v>10</v>
      </c>
      <c r="J156" s="12">
        <f t="shared" si="61"/>
        <v>947.36842105263167</v>
      </c>
      <c r="L156">
        <f t="shared" si="62"/>
        <v>500</v>
      </c>
      <c r="M156">
        <f t="shared" si="63"/>
        <v>52.631578947368418</v>
      </c>
      <c r="N156">
        <v>11.2</v>
      </c>
      <c r="O156" s="12">
        <f t="shared" si="64"/>
        <v>589.47368421052624</v>
      </c>
      <c r="Q156" s="12">
        <f t="shared" si="65"/>
        <v>79.90347841923149</v>
      </c>
      <c r="R156" s="12">
        <f t="shared" si="66"/>
        <v>49.717719905299582</v>
      </c>
    </row>
    <row r="157" spans="1:18" x14ac:dyDescent="0.25">
      <c r="A157" s="30">
        <v>45765</v>
      </c>
      <c r="B157">
        <v>61.25</v>
      </c>
      <c r="C157" s="7">
        <f t="shared" si="67"/>
        <v>20366.25</v>
      </c>
      <c r="D157" s="7">
        <f t="shared" si="57"/>
        <v>0.30074265021788499</v>
      </c>
      <c r="G157">
        <f t="shared" si="59"/>
        <v>900</v>
      </c>
      <c r="H157">
        <f t="shared" si="60"/>
        <v>94.736842105263165</v>
      </c>
      <c r="I157">
        <v>10.5</v>
      </c>
      <c r="J157" s="12">
        <f t="shared" si="61"/>
        <v>994.73684210526324</v>
      </c>
      <c r="L157">
        <f t="shared" si="62"/>
        <v>500</v>
      </c>
      <c r="M157">
        <f t="shared" si="63"/>
        <v>52.631578947368418</v>
      </c>
      <c r="N157">
        <v>12</v>
      </c>
      <c r="O157" s="12">
        <f t="shared" si="64"/>
        <v>631.57894736842104</v>
      </c>
      <c r="Q157" s="12">
        <f t="shared" si="65"/>
        <v>2.9915979416410665</v>
      </c>
      <c r="R157" s="12">
        <f t="shared" si="66"/>
        <v>1.8994272645340105</v>
      </c>
    </row>
    <row r="158" spans="1:18" x14ac:dyDescent="0.25">
      <c r="A158" s="30">
        <v>45776</v>
      </c>
      <c r="B158">
        <v>428.75</v>
      </c>
      <c r="C158" s="7">
        <v>18526</v>
      </c>
      <c r="D158" s="7">
        <f t="shared" si="57"/>
        <v>2.3143150167332398</v>
      </c>
      <c r="G158">
        <f t="shared" si="59"/>
        <v>900</v>
      </c>
      <c r="H158">
        <f t="shared" si="60"/>
        <v>94.736842105263165</v>
      </c>
      <c r="I158">
        <v>10</v>
      </c>
      <c r="J158" s="12">
        <f t="shared" si="61"/>
        <v>947.36842105263167</v>
      </c>
      <c r="L158">
        <f t="shared" si="62"/>
        <v>500</v>
      </c>
      <c r="M158">
        <f t="shared" si="63"/>
        <v>52.631578947368418</v>
      </c>
      <c r="N158">
        <v>12.2</v>
      </c>
      <c r="O158" s="12">
        <f t="shared" si="64"/>
        <v>642.10526315789468</v>
      </c>
      <c r="Q158" s="12">
        <f t="shared" si="65"/>
        <v>21.925089632209641</v>
      </c>
      <c r="R158" s="12">
        <f t="shared" si="66"/>
        <v>14.860338528497644</v>
      </c>
    </row>
    <row r="159" spans="1:18" x14ac:dyDescent="0.25">
      <c r="A159" s="30">
        <v>45777</v>
      </c>
      <c r="B159">
        <v>673.75</v>
      </c>
      <c r="C159" s="7">
        <v>20025</v>
      </c>
      <c r="D159" s="7">
        <f t="shared" si="57"/>
        <v>3.3645443196004994</v>
      </c>
      <c r="G159">
        <f t="shared" si="59"/>
        <v>900</v>
      </c>
      <c r="H159">
        <f t="shared" si="60"/>
        <v>94.736842105263165</v>
      </c>
      <c r="I159">
        <v>12</v>
      </c>
      <c r="J159" s="12">
        <f t="shared" si="61"/>
        <v>1136.8421052631579</v>
      </c>
      <c r="L159">
        <f t="shared" si="62"/>
        <v>500</v>
      </c>
      <c r="M159">
        <f t="shared" si="63"/>
        <v>52.631578947368418</v>
      </c>
      <c r="N159">
        <v>12</v>
      </c>
      <c r="O159" s="12">
        <f t="shared" si="64"/>
        <v>631.57894736842104</v>
      </c>
      <c r="Q159" s="35">
        <f t="shared" si="65"/>
        <v>38.249556475458306</v>
      </c>
      <c r="R159" s="35">
        <f t="shared" si="66"/>
        <v>21.24975359747684</v>
      </c>
    </row>
    <row r="160" spans="1:18" ht="15.75" thickBot="1" x14ac:dyDescent="0.3">
      <c r="A160" s="31">
        <v>45794</v>
      </c>
      <c r="B160" s="15">
        <v>125</v>
      </c>
      <c r="C160" s="14">
        <v>15647</v>
      </c>
      <c r="D160" s="14">
        <f t="shared" si="57"/>
        <v>0.79887518374129229</v>
      </c>
      <c r="Q160" s="12">
        <f>SUM(Q146:Q159)</f>
        <v>2030.5254659521588</v>
      </c>
      <c r="R160" s="12">
        <f>SUM(R146:R159)</f>
        <v>1123.1564109101921</v>
      </c>
    </row>
    <row r="161" spans="1:18" x14ac:dyDescent="0.25">
      <c r="B161">
        <f>SUM(B146:B160)</f>
        <v>37434.166666666672</v>
      </c>
      <c r="C161">
        <f t="shared" ref="C161" si="68">SUM(C146:C160)</f>
        <v>286419.81031746033</v>
      </c>
      <c r="D161" t="s">
        <v>5</v>
      </c>
    </row>
    <row r="164" spans="1:18" x14ac:dyDescent="0.25">
      <c r="A164" t="s">
        <v>51</v>
      </c>
    </row>
    <row r="165" spans="1:18" x14ac:dyDescent="0.25">
      <c r="A165" s="8" t="s">
        <v>6</v>
      </c>
      <c r="B165" s="8" t="s">
        <v>52</v>
      </c>
      <c r="C165" s="22" t="s">
        <v>50</v>
      </c>
      <c r="D165" s="22" t="s">
        <v>9</v>
      </c>
      <c r="J165" t="s">
        <v>1</v>
      </c>
      <c r="L165" t="s">
        <v>5</v>
      </c>
      <c r="M165" t="s">
        <v>5</v>
      </c>
      <c r="O165" t="s">
        <v>3</v>
      </c>
      <c r="Q165" t="s">
        <v>1</v>
      </c>
      <c r="R165" t="s">
        <v>3</v>
      </c>
    </row>
    <row r="166" spans="1:18" x14ac:dyDescent="0.25">
      <c r="A166" s="32">
        <v>45762</v>
      </c>
      <c r="B166" s="23">
        <v>1555</v>
      </c>
      <c r="C166" s="12">
        <f>+VLOOKUP(A166,$A$146:$C$160,3,0)</f>
        <v>18912</v>
      </c>
      <c r="D166" s="7">
        <f t="shared" ref="D166:D179" si="69">+B166/C166*100</f>
        <v>8.2222927241962775</v>
      </c>
      <c r="G166">
        <f>27000/30</f>
        <v>900</v>
      </c>
      <c r="H166">
        <f>+G166/9.5</f>
        <v>94.736842105263165</v>
      </c>
      <c r="I166">
        <f>+VLOOKUP(A166,$A$146:$I$160,9,0)</f>
        <v>12</v>
      </c>
      <c r="J166" s="12">
        <f>+I166*H166</f>
        <v>1136.8421052631579</v>
      </c>
      <c r="L166">
        <f t="shared" ref="L166:L179" si="70">15000/30</f>
        <v>500</v>
      </c>
      <c r="M166">
        <f t="shared" ref="M166:M179" si="71">+L166/9.5</f>
        <v>52.631578947368418</v>
      </c>
      <c r="N166">
        <f>+VLOOKUP(A166,$A$146:$N$159,14,0)</f>
        <v>0</v>
      </c>
      <c r="O166" s="12">
        <f>+M166*N166</f>
        <v>0</v>
      </c>
      <c r="Q166" s="12">
        <f>+J166/100*D166</f>
        <v>93.474485706652416</v>
      </c>
      <c r="R166" s="12">
        <f>+O166/100*D166</f>
        <v>0</v>
      </c>
    </row>
    <row r="167" spans="1:18" x14ac:dyDescent="0.25">
      <c r="A167" s="32">
        <v>45763</v>
      </c>
      <c r="B167" s="23">
        <v>3413.75</v>
      </c>
      <c r="C167" s="12">
        <f t="shared" ref="C167:C177" si="72">+VLOOKUP(A167,$A$146:$C$160,3,0)</f>
        <v>18307</v>
      </c>
      <c r="D167" s="7">
        <f t="shared" si="69"/>
        <v>18.647238761129621</v>
      </c>
      <c r="G167">
        <f t="shared" ref="G167:G179" si="73">27000/30</f>
        <v>900</v>
      </c>
      <c r="H167">
        <f t="shared" ref="H167:H179" si="74">+G167/9.5</f>
        <v>94.736842105263165</v>
      </c>
      <c r="I167">
        <f t="shared" ref="I167:I177" si="75">+VLOOKUP(A167,$A$146:$I$160,9,0)</f>
        <v>9.5</v>
      </c>
      <c r="J167" s="12">
        <f t="shared" ref="J167:J179" si="76">+I167*H167</f>
        <v>900.00000000000011</v>
      </c>
      <c r="L167">
        <f t="shared" si="70"/>
        <v>500</v>
      </c>
      <c r="M167">
        <f t="shared" si="71"/>
        <v>52.631578947368418</v>
      </c>
      <c r="N167">
        <f t="shared" ref="N167:N177" si="77">+VLOOKUP(A167,$A$146:$N$159,14,0)</f>
        <v>12</v>
      </c>
      <c r="O167" s="12">
        <f t="shared" ref="O167:O179" si="78">+M167*N167</f>
        <v>631.57894736842104</v>
      </c>
      <c r="Q167" s="12">
        <f t="shared" ref="Q167:Q179" si="79">+J167/100*D167</f>
        <v>167.82514885016661</v>
      </c>
      <c r="R167" s="12">
        <f t="shared" ref="R167:R179" si="80">+O167/100*D167</f>
        <v>117.77203428081866</v>
      </c>
    </row>
    <row r="168" spans="1:18" x14ac:dyDescent="0.25">
      <c r="A168" s="32">
        <v>45764</v>
      </c>
      <c r="B168" s="23">
        <v>10300</v>
      </c>
      <c r="C168" s="12">
        <f t="shared" si="72"/>
        <v>20230</v>
      </c>
      <c r="D168" s="7">
        <f t="shared" si="69"/>
        <v>50.914483440434999</v>
      </c>
      <c r="G168">
        <f t="shared" si="73"/>
        <v>900</v>
      </c>
      <c r="H168">
        <f t="shared" si="74"/>
        <v>94.736842105263165</v>
      </c>
      <c r="I168">
        <f t="shared" si="75"/>
        <v>10</v>
      </c>
      <c r="J168" s="12">
        <f t="shared" si="76"/>
        <v>947.36842105263167</v>
      </c>
      <c r="L168">
        <f t="shared" si="70"/>
        <v>500</v>
      </c>
      <c r="M168">
        <f t="shared" si="71"/>
        <v>52.631578947368418</v>
      </c>
      <c r="N168">
        <f t="shared" si="77"/>
        <v>11.2</v>
      </c>
      <c r="O168" s="12">
        <f t="shared" si="78"/>
        <v>589.47368421052624</v>
      </c>
      <c r="Q168" s="12">
        <f t="shared" si="79"/>
        <v>482.3477378567527</v>
      </c>
      <c r="R168" s="12">
        <f t="shared" si="80"/>
        <v>300.12748133309049</v>
      </c>
    </row>
    <row r="169" spans="1:18" x14ac:dyDescent="0.25">
      <c r="A169" s="32">
        <v>45765</v>
      </c>
      <c r="B169" s="23">
        <v>8988.75</v>
      </c>
      <c r="C169" s="12">
        <f t="shared" si="72"/>
        <v>20366.25</v>
      </c>
      <c r="D169" s="7">
        <f t="shared" si="69"/>
        <v>44.135518320751245</v>
      </c>
      <c r="G169">
        <f t="shared" si="73"/>
        <v>900</v>
      </c>
      <c r="H169">
        <f t="shared" si="74"/>
        <v>94.736842105263165</v>
      </c>
      <c r="I169">
        <f t="shared" si="75"/>
        <v>10.5</v>
      </c>
      <c r="J169" s="12">
        <f t="shared" si="76"/>
        <v>994.73684210526324</v>
      </c>
      <c r="L169">
        <f t="shared" si="70"/>
        <v>500</v>
      </c>
      <c r="M169">
        <f t="shared" si="71"/>
        <v>52.631578947368418</v>
      </c>
      <c r="N169">
        <f t="shared" si="77"/>
        <v>12</v>
      </c>
      <c r="O169" s="12">
        <f t="shared" si="78"/>
        <v>631.57894736842104</v>
      </c>
      <c r="Q169" s="12">
        <f t="shared" si="79"/>
        <v>439.03226119063083</v>
      </c>
      <c r="R169" s="12">
        <f t="shared" si="80"/>
        <v>278.75064202579733</v>
      </c>
    </row>
    <row r="170" spans="1:18" x14ac:dyDescent="0.25">
      <c r="A170" s="32">
        <v>45766</v>
      </c>
      <c r="B170" s="23">
        <v>7262.5</v>
      </c>
      <c r="C170" s="12">
        <f>+VLOOKUP(A170,$A$115:$C$122,3,0)</f>
        <v>18159.875</v>
      </c>
      <c r="D170" s="7">
        <f t="shared" si="69"/>
        <v>39.992015363541874</v>
      </c>
      <c r="G170">
        <f t="shared" si="73"/>
        <v>900</v>
      </c>
      <c r="H170">
        <f t="shared" si="74"/>
        <v>94.736842105263165</v>
      </c>
      <c r="I170">
        <v>11</v>
      </c>
      <c r="J170" s="12">
        <f t="shared" si="76"/>
        <v>1042.1052631578948</v>
      </c>
      <c r="L170">
        <f t="shared" si="70"/>
        <v>500</v>
      </c>
      <c r="M170">
        <f t="shared" si="71"/>
        <v>52.631578947368418</v>
      </c>
      <c r="N170">
        <v>12</v>
      </c>
      <c r="O170" s="12">
        <f t="shared" si="78"/>
        <v>631.57894736842104</v>
      </c>
      <c r="Q170" s="12">
        <f t="shared" si="79"/>
        <v>416.7588969463838</v>
      </c>
      <c r="R170" s="12">
        <f t="shared" si="80"/>
        <v>252.58114966447499</v>
      </c>
    </row>
    <row r="171" spans="1:18" x14ac:dyDescent="0.25">
      <c r="A171" s="32">
        <v>45767</v>
      </c>
      <c r="B171" s="23">
        <v>3286.6666666666665</v>
      </c>
      <c r="C171" s="12">
        <f t="shared" ref="C171:C173" si="81">+VLOOKUP(A171,$A$115:$C$122,3,0)</f>
        <v>14590</v>
      </c>
      <c r="D171" s="7">
        <f t="shared" si="69"/>
        <v>22.52684487091615</v>
      </c>
      <c r="G171">
        <f t="shared" si="73"/>
        <v>900</v>
      </c>
      <c r="H171">
        <f t="shared" si="74"/>
        <v>94.736842105263165</v>
      </c>
      <c r="I171">
        <v>9</v>
      </c>
      <c r="J171" s="12">
        <f t="shared" si="76"/>
        <v>852.63157894736844</v>
      </c>
      <c r="L171">
        <f t="shared" si="70"/>
        <v>500</v>
      </c>
      <c r="M171">
        <f t="shared" si="71"/>
        <v>52.631578947368418</v>
      </c>
      <c r="N171">
        <v>10</v>
      </c>
      <c r="O171" s="12">
        <f t="shared" si="78"/>
        <v>526.31578947368416</v>
      </c>
      <c r="Q171" s="12">
        <f t="shared" si="79"/>
        <v>192.07099310991666</v>
      </c>
      <c r="R171" s="12">
        <f t="shared" si="80"/>
        <v>118.56234142587446</v>
      </c>
    </row>
    <row r="172" spans="1:18" x14ac:dyDescent="0.25">
      <c r="A172" s="32">
        <v>45768</v>
      </c>
      <c r="B172" s="23">
        <v>2272.5</v>
      </c>
      <c r="C172" s="12">
        <f t="shared" si="81"/>
        <v>19238.75</v>
      </c>
      <c r="D172" s="7">
        <f t="shared" si="69"/>
        <v>11.812097979338574</v>
      </c>
      <c r="G172">
        <f t="shared" si="73"/>
        <v>900</v>
      </c>
      <c r="H172">
        <f t="shared" si="74"/>
        <v>94.736842105263165</v>
      </c>
      <c r="I172">
        <v>10.5</v>
      </c>
      <c r="J172" s="12">
        <f t="shared" si="76"/>
        <v>994.73684210526324</v>
      </c>
      <c r="L172">
        <f t="shared" si="70"/>
        <v>500</v>
      </c>
      <c r="M172">
        <f t="shared" si="71"/>
        <v>52.631578947368418</v>
      </c>
      <c r="N172">
        <v>10.5</v>
      </c>
      <c r="O172" s="12">
        <f t="shared" si="78"/>
        <v>552.63157894736844</v>
      </c>
      <c r="Q172" s="12">
        <f t="shared" si="79"/>
        <v>117.49929042605214</v>
      </c>
      <c r="R172" s="12">
        <f t="shared" si="80"/>
        <v>65.27738357002896</v>
      </c>
    </row>
    <row r="173" spans="1:18" x14ac:dyDescent="0.25">
      <c r="A173" s="32">
        <v>45769</v>
      </c>
      <c r="B173" s="23">
        <v>350</v>
      </c>
      <c r="C173" s="12">
        <f t="shared" si="81"/>
        <v>18949.25</v>
      </c>
      <c r="D173" s="7">
        <f t="shared" si="69"/>
        <v>1.8470388010079557</v>
      </c>
      <c r="G173">
        <f t="shared" si="73"/>
        <v>900</v>
      </c>
      <c r="H173">
        <f t="shared" si="74"/>
        <v>94.736842105263165</v>
      </c>
      <c r="I173">
        <v>12</v>
      </c>
      <c r="J173" s="12">
        <f t="shared" si="76"/>
        <v>1136.8421052631579</v>
      </c>
      <c r="L173">
        <f t="shared" si="70"/>
        <v>500</v>
      </c>
      <c r="M173">
        <f t="shared" si="71"/>
        <v>52.631578947368418</v>
      </c>
      <c r="N173">
        <v>12</v>
      </c>
      <c r="O173" s="12">
        <f t="shared" si="78"/>
        <v>631.57894736842104</v>
      </c>
      <c r="Q173" s="12">
        <f t="shared" si="79"/>
        <v>20.997914790406234</v>
      </c>
      <c r="R173" s="12">
        <f t="shared" si="80"/>
        <v>11.665508216892352</v>
      </c>
    </row>
    <row r="174" spans="1:18" x14ac:dyDescent="0.25">
      <c r="A174" s="32">
        <v>45773</v>
      </c>
      <c r="B174" s="23">
        <v>460</v>
      </c>
      <c r="C174" s="12">
        <v>14170</v>
      </c>
      <c r="D174" s="7">
        <f t="shared" si="69"/>
        <v>3.2462949894142556</v>
      </c>
      <c r="G174">
        <f t="shared" si="73"/>
        <v>900</v>
      </c>
      <c r="H174">
        <f t="shared" si="74"/>
        <v>94.736842105263165</v>
      </c>
      <c r="I174">
        <v>10</v>
      </c>
      <c r="J174" s="12">
        <f t="shared" si="76"/>
        <v>947.36842105263167</v>
      </c>
      <c r="L174">
        <f t="shared" si="70"/>
        <v>500</v>
      </c>
      <c r="M174">
        <f t="shared" si="71"/>
        <v>52.631578947368418</v>
      </c>
      <c r="N174">
        <v>9.8000000000000007</v>
      </c>
      <c r="O174" s="12">
        <f t="shared" si="78"/>
        <v>515.78947368421052</v>
      </c>
      <c r="Q174" s="12">
        <f t="shared" si="79"/>
        <v>30.754373583924529</v>
      </c>
      <c r="R174" s="12">
        <f t="shared" si="80"/>
        <v>16.744047840136687</v>
      </c>
    </row>
    <row r="175" spans="1:18" x14ac:dyDescent="0.25">
      <c r="A175" s="32">
        <v>45775</v>
      </c>
      <c r="B175" s="23">
        <v>673.75</v>
      </c>
      <c r="C175" s="12">
        <v>18281</v>
      </c>
      <c r="D175" s="7">
        <f t="shared" si="69"/>
        <v>3.6855204857502324</v>
      </c>
      <c r="G175">
        <f t="shared" si="73"/>
        <v>900</v>
      </c>
      <c r="H175">
        <f t="shared" si="74"/>
        <v>94.736842105263165</v>
      </c>
      <c r="I175">
        <v>12</v>
      </c>
      <c r="J175" s="12">
        <f t="shared" si="76"/>
        <v>1136.8421052631579</v>
      </c>
      <c r="L175">
        <f t="shared" si="70"/>
        <v>500</v>
      </c>
      <c r="M175">
        <f t="shared" si="71"/>
        <v>52.631578947368418</v>
      </c>
      <c r="N175">
        <v>12</v>
      </c>
      <c r="O175" s="12">
        <f t="shared" si="78"/>
        <v>631.57894736842104</v>
      </c>
      <c r="Q175" s="12">
        <f t="shared" si="79"/>
        <v>41.898548680107908</v>
      </c>
      <c r="R175" s="12">
        <f t="shared" si="80"/>
        <v>23.276971488948835</v>
      </c>
    </row>
    <row r="176" spans="1:18" x14ac:dyDescent="0.25">
      <c r="A176" s="32">
        <v>45776</v>
      </c>
      <c r="B176" s="23">
        <v>245</v>
      </c>
      <c r="C176" s="12">
        <f t="shared" si="72"/>
        <v>18526</v>
      </c>
      <c r="D176" s="7">
        <f t="shared" si="69"/>
        <v>1.3224657238475657</v>
      </c>
      <c r="G176">
        <f t="shared" si="73"/>
        <v>900</v>
      </c>
      <c r="H176">
        <f t="shared" si="74"/>
        <v>94.736842105263165</v>
      </c>
      <c r="I176">
        <f t="shared" si="75"/>
        <v>10</v>
      </c>
      <c r="J176" s="12">
        <f t="shared" si="76"/>
        <v>947.36842105263167</v>
      </c>
      <c r="L176">
        <f t="shared" si="70"/>
        <v>500</v>
      </c>
      <c r="M176">
        <f t="shared" si="71"/>
        <v>52.631578947368418</v>
      </c>
      <c r="N176">
        <f t="shared" si="77"/>
        <v>12.2</v>
      </c>
      <c r="O176" s="12">
        <f t="shared" si="78"/>
        <v>642.10526315789468</v>
      </c>
      <c r="Q176" s="12">
        <f t="shared" si="79"/>
        <v>12.52862264697694</v>
      </c>
      <c r="R176" s="12">
        <f t="shared" si="80"/>
        <v>8.491622016284369</v>
      </c>
    </row>
    <row r="177" spans="1:18" x14ac:dyDescent="0.25">
      <c r="A177" s="32">
        <v>45777</v>
      </c>
      <c r="B177" s="23">
        <v>460</v>
      </c>
      <c r="C177" s="12">
        <f t="shared" si="72"/>
        <v>20025</v>
      </c>
      <c r="D177" s="7">
        <f t="shared" si="69"/>
        <v>2.2971285892634206</v>
      </c>
      <c r="G177">
        <f t="shared" si="73"/>
        <v>900</v>
      </c>
      <c r="H177">
        <f t="shared" si="74"/>
        <v>94.736842105263165</v>
      </c>
      <c r="I177">
        <f t="shared" si="75"/>
        <v>12</v>
      </c>
      <c r="J177" s="12">
        <f t="shared" si="76"/>
        <v>1136.8421052631579</v>
      </c>
      <c r="L177">
        <f t="shared" si="70"/>
        <v>500</v>
      </c>
      <c r="M177">
        <f t="shared" si="71"/>
        <v>52.631578947368418</v>
      </c>
      <c r="N177">
        <f t="shared" si="77"/>
        <v>12</v>
      </c>
      <c r="O177" s="12">
        <f t="shared" si="78"/>
        <v>631.57894736842104</v>
      </c>
      <c r="Q177" s="12">
        <f t="shared" si="79"/>
        <v>26.114725014784149</v>
      </c>
      <c r="R177" s="12">
        <f t="shared" si="80"/>
        <v>14.508180563768972</v>
      </c>
    </row>
    <row r="178" spans="1:18" x14ac:dyDescent="0.25">
      <c r="A178" s="32">
        <v>45783</v>
      </c>
      <c r="B178" s="23">
        <v>3491.25</v>
      </c>
      <c r="C178" s="12">
        <v>14705</v>
      </c>
      <c r="D178" s="7">
        <f t="shared" si="69"/>
        <v>23.741924515470927</v>
      </c>
      <c r="G178">
        <f t="shared" si="73"/>
        <v>900</v>
      </c>
      <c r="H178">
        <f t="shared" si="74"/>
        <v>94.736842105263165</v>
      </c>
      <c r="I178">
        <v>10</v>
      </c>
      <c r="J178" s="12">
        <f t="shared" si="76"/>
        <v>947.36842105263167</v>
      </c>
      <c r="L178">
        <f t="shared" si="70"/>
        <v>500</v>
      </c>
      <c r="M178">
        <f t="shared" si="71"/>
        <v>52.631578947368418</v>
      </c>
      <c r="N178">
        <v>11.5</v>
      </c>
      <c r="O178" s="12">
        <f t="shared" si="78"/>
        <v>605.26315789473676</v>
      </c>
      <c r="Q178" s="12">
        <f t="shared" si="79"/>
        <v>224.92349540972461</v>
      </c>
      <c r="R178" s="12">
        <f t="shared" si="80"/>
        <v>143.70112206732401</v>
      </c>
    </row>
    <row r="179" spans="1:18" x14ac:dyDescent="0.25">
      <c r="A179" s="33">
        <v>45786</v>
      </c>
      <c r="B179" s="34">
        <v>663.75</v>
      </c>
      <c r="C179" s="35">
        <v>16534</v>
      </c>
      <c r="D179" s="7">
        <f t="shared" si="69"/>
        <v>4.0144550622958759</v>
      </c>
      <c r="G179">
        <f t="shared" si="73"/>
        <v>900</v>
      </c>
      <c r="H179">
        <f t="shared" si="74"/>
        <v>94.736842105263165</v>
      </c>
      <c r="I179">
        <v>11.5</v>
      </c>
      <c r="J179" s="12">
        <f t="shared" si="76"/>
        <v>1089.4736842105265</v>
      </c>
      <c r="L179">
        <f t="shared" si="70"/>
        <v>500</v>
      </c>
      <c r="M179">
        <f t="shared" si="71"/>
        <v>52.631578947368418</v>
      </c>
      <c r="N179">
        <v>11.5</v>
      </c>
      <c r="O179" s="12">
        <f t="shared" si="78"/>
        <v>605.26315789473676</v>
      </c>
      <c r="Q179" s="35">
        <f t="shared" si="79"/>
        <v>43.736431468170871</v>
      </c>
      <c r="R179" s="35">
        <f t="shared" si="80"/>
        <v>24.298017482317139</v>
      </c>
    </row>
    <row r="180" spans="1:18" x14ac:dyDescent="0.25">
      <c r="Q180" s="12">
        <f>SUM(Q166:Q179)</f>
        <v>2309.9629256806502</v>
      </c>
      <c r="R180" s="12">
        <f>SUM(R166:R179)</f>
        <v>1375.7565019757571</v>
      </c>
    </row>
    <row r="182" spans="1:18" x14ac:dyDescent="0.25">
      <c r="A182" s="11" t="s">
        <v>53</v>
      </c>
    </row>
    <row r="183" spans="1:18" x14ac:dyDescent="0.25">
      <c r="A183" s="8" t="s">
        <v>6</v>
      </c>
      <c r="B183" s="8" t="s">
        <v>54</v>
      </c>
      <c r="C183" s="22" t="s">
        <v>50</v>
      </c>
      <c r="D183" s="22" t="s">
        <v>9</v>
      </c>
      <c r="J183" t="s">
        <v>1</v>
      </c>
      <c r="O183" t="s">
        <v>3</v>
      </c>
      <c r="Q183" t="s">
        <v>1</v>
      </c>
      <c r="R183" t="s">
        <v>3</v>
      </c>
    </row>
    <row r="184" spans="1:18" x14ac:dyDescent="0.25">
      <c r="A184" s="36">
        <v>45766</v>
      </c>
      <c r="B184" s="7">
        <v>75</v>
      </c>
      <c r="C184" s="12">
        <f>+VLOOKUP(A184,$A$166:$C$179,3,0)</f>
        <v>18159.875</v>
      </c>
      <c r="D184" s="7">
        <f t="shared" ref="D184:D195" si="82">+B184/C184*100</f>
        <v>0.41299843748924486</v>
      </c>
      <c r="G184">
        <f>27000/30</f>
        <v>900</v>
      </c>
      <c r="H184">
        <f>+G184/9.5</f>
        <v>94.736842105263165</v>
      </c>
      <c r="I184">
        <f>+VLOOKUP(A184,$A$166:$I$179,9,0)</f>
        <v>11</v>
      </c>
      <c r="J184" s="12">
        <f t="shared" ref="J184:J195" si="83">+I184*H184</f>
        <v>1042.1052631578948</v>
      </c>
      <c r="L184">
        <f t="shared" ref="L184:L195" si="84">15000/30</f>
        <v>500</v>
      </c>
      <c r="M184">
        <f t="shared" ref="M184:M195" si="85">+L184/9.5</f>
        <v>52.631578947368418</v>
      </c>
      <c r="N184">
        <f>+VLOOKUP(A184,$A$166:$N$179,14,0)</f>
        <v>12</v>
      </c>
      <c r="O184" s="12">
        <f t="shared" ref="O184:O195" si="86">+M184*N184</f>
        <v>631.57894736842104</v>
      </c>
      <c r="Q184" s="12">
        <f>+J184/100*D184</f>
        <v>4.3038784538352894</v>
      </c>
      <c r="R184" s="12">
        <f>+O184/100*D184</f>
        <v>2.6084111841425992</v>
      </c>
    </row>
    <row r="185" spans="1:18" x14ac:dyDescent="0.25">
      <c r="A185" s="36">
        <v>45767</v>
      </c>
      <c r="B185" s="7">
        <v>50</v>
      </c>
      <c r="C185" s="12">
        <f t="shared" ref="C185:C193" si="87">+VLOOKUP(A185,$A$166:$C$179,3,0)</f>
        <v>14590</v>
      </c>
      <c r="D185" s="7">
        <f t="shared" si="82"/>
        <v>0.3427004797806717</v>
      </c>
      <c r="G185">
        <f t="shared" ref="G185:G195" si="88">27000/30</f>
        <v>900</v>
      </c>
      <c r="H185">
        <f t="shared" ref="H185:H195" si="89">+G185/9.5</f>
        <v>94.736842105263165</v>
      </c>
      <c r="I185">
        <f t="shared" ref="I185:I193" si="90">+VLOOKUP(A185,$A$166:$I$179,9,0)</f>
        <v>9</v>
      </c>
      <c r="J185" s="12">
        <f t="shared" si="83"/>
        <v>852.63157894736844</v>
      </c>
      <c r="L185">
        <f t="shared" si="84"/>
        <v>500</v>
      </c>
      <c r="M185">
        <f t="shared" si="85"/>
        <v>52.631578947368418</v>
      </c>
      <c r="N185">
        <f t="shared" ref="N185:N193" si="91">+VLOOKUP(A185,$A$166:$N$179,14,0)</f>
        <v>10</v>
      </c>
      <c r="O185" s="12">
        <f t="shared" si="86"/>
        <v>526.31578947368416</v>
      </c>
      <c r="Q185" s="12">
        <f t="shared" ref="Q185:Q195" si="92">+J185/100*D185</f>
        <v>2.9219725118141482</v>
      </c>
      <c r="R185" s="12">
        <f t="shared" ref="R185:R195" si="93">+O185/100*D185</f>
        <v>1.8036867356877455</v>
      </c>
    </row>
    <row r="186" spans="1:18" x14ac:dyDescent="0.25">
      <c r="A186" s="36">
        <v>45769</v>
      </c>
      <c r="B186" s="7">
        <v>146.25</v>
      </c>
      <c r="C186" s="12">
        <f t="shared" si="87"/>
        <v>18949.25</v>
      </c>
      <c r="D186" s="7">
        <f t="shared" si="82"/>
        <v>0.7717983561354671</v>
      </c>
      <c r="G186">
        <f t="shared" si="88"/>
        <v>900</v>
      </c>
      <c r="H186">
        <f t="shared" si="89"/>
        <v>94.736842105263165</v>
      </c>
      <c r="I186">
        <f t="shared" si="90"/>
        <v>12</v>
      </c>
      <c r="J186" s="12">
        <f t="shared" si="83"/>
        <v>1136.8421052631579</v>
      </c>
      <c r="L186">
        <f t="shared" si="84"/>
        <v>500</v>
      </c>
      <c r="M186">
        <f t="shared" si="85"/>
        <v>52.631578947368418</v>
      </c>
      <c r="N186">
        <f t="shared" si="91"/>
        <v>12</v>
      </c>
      <c r="O186" s="12">
        <f t="shared" si="86"/>
        <v>631.57894736842104</v>
      </c>
      <c r="Q186" s="12">
        <f t="shared" si="92"/>
        <v>8.7741286802768883</v>
      </c>
      <c r="R186" s="12">
        <f t="shared" si="93"/>
        <v>4.8745159334871611</v>
      </c>
    </row>
    <row r="187" spans="1:18" x14ac:dyDescent="0.25">
      <c r="A187" s="36">
        <v>45770</v>
      </c>
      <c r="B187" s="7">
        <v>2440</v>
      </c>
      <c r="C187" s="12">
        <v>20783</v>
      </c>
      <c r="D187" s="7">
        <f t="shared" si="82"/>
        <v>11.740364721166339</v>
      </c>
      <c r="G187">
        <f t="shared" si="88"/>
        <v>900</v>
      </c>
      <c r="H187">
        <f t="shared" si="89"/>
        <v>94.736842105263165</v>
      </c>
      <c r="I187">
        <v>12</v>
      </c>
      <c r="J187" s="12">
        <f t="shared" si="83"/>
        <v>1136.8421052631579</v>
      </c>
      <c r="L187">
        <f t="shared" si="84"/>
        <v>500</v>
      </c>
      <c r="M187">
        <f t="shared" si="85"/>
        <v>52.631578947368418</v>
      </c>
      <c r="N187">
        <v>12</v>
      </c>
      <c r="O187" s="12">
        <f t="shared" si="86"/>
        <v>631.57894736842104</v>
      </c>
      <c r="Q187" s="12">
        <f t="shared" si="92"/>
        <v>133.46940946168047</v>
      </c>
      <c r="R187" s="12">
        <f t="shared" si="93"/>
        <v>74.149671923155822</v>
      </c>
    </row>
    <row r="188" spans="1:18" x14ac:dyDescent="0.25">
      <c r="A188" s="36">
        <v>45771</v>
      </c>
      <c r="B188" s="7">
        <v>4432.5</v>
      </c>
      <c r="C188" s="12">
        <v>20494.25</v>
      </c>
      <c r="D188" s="7">
        <f t="shared" si="82"/>
        <v>21.628017614696805</v>
      </c>
      <c r="G188">
        <f t="shared" si="88"/>
        <v>900</v>
      </c>
      <c r="H188">
        <f t="shared" si="89"/>
        <v>94.736842105263165</v>
      </c>
      <c r="I188">
        <v>12</v>
      </c>
      <c r="J188" s="12">
        <f t="shared" si="83"/>
        <v>1136.8421052631579</v>
      </c>
      <c r="L188">
        <f t="shared" si="84"/>
        <v>500</v>
      </c>
      <c r="M188">
        <f t="shared" si="85"/>
        <v>52.631578947368418</v>
      </c>
      <c r="N188">
        <v>12</v>
      </c>
      <c r="O188" s="12">
        <f t="shared" si="86"/>
        <v>631.57894736842104</v>
      </c>
      <c r="Q188" s="12">
        <f t="shared" si="92"/>
        <v>245.87641077760577</v>
      </c>
      <c r="R188" s="12">
        <f t="shared" si="93"/>
        <v>136.59800598755876</v>
      </c>
    </row>
    <row r="189" spans="1:18" x14ac:dyDescent="0.25">
      <c r="A189" s="36">
        <v>45772</v>
      </c>
      <c r="B189" s="7">
        <v>6955</v>
      </c>
      <c r="C189" s="12">
        <v>20771</v>
      </c>
      <c r="D189" s="7">
        <f t="shared" si="82"/>
        <v>33.484184680564248</v>
      </c>
      <c r="G189">
        <f t="shared" si="88"/>
        <v>900</v>
      </c>
      <c r="H189">
        <f t="shared" si="89"/>
        <v>94.736842105263165</v>
      </c>
      <c r="I189">
        <v>8.3000000000000007</v>
      </c>
      <c r="J189" s="12">
        <f t="shared" si="83"/>
        <v>786.31578947368439</v>
      </c>
      <c r="L189">
        <f t="shared" si="84"/>
        <v>500</v>
      </c>
      <c r="M189">
        <f t="shared" si="85"/>
        <v>52.631578947368418</v>
      </c>
      <c r="N189">
        <v>12</v>
      </c>
      <c r="O189" s="12">
        <f t="shared" si="86"/>
        <v>631.57894736842104</v>
      </c>
      <c r="Q189" s="12">
        <f t="shared" si="92"/>
        <v>263.29143111980522</v>
      </c>
      <c r="R189" s="12">
        <f t="shared" si="93"/>
        <v>211.47906114040578</v>
      </c>
    </row>
    <row r="190" spans="1:18" x14ac:dyDescent="0.25">
      <c r="A190" s="36">
        <v>45773</v>
      </c>
      <c r="B190" s="7">
        <v>5860</v>
      </c>
      <c r="C190" s="12">
        <f t="shared" si="87"/>
        <v>14170</v>
      </c>
      <c r="D190" s="7">
        <f t="shared" si="82"/>
        <v>41.354975299929428</v>
      </c>
      <c r="G190">
        <f t="shared" si="88"/>
        <v>900</v>
      </c>
      <c r="H190">
        <f t="shared" si="89"/>
        <v>94.736842105263165</v>
      </c>
      <c r="I190">
        <f t="shared" si="90"/>
        <v>10</v>
      </c>
      <c r="J190" s="12">
        <f t="shared" si="83"/>
        <v>947.36842105263167</v>
      </c>
      <c r="L190">
        <f t="shared" si="84"/>
        <v>500</v>
      </c>
      <c r="M190">
        <f t="shared" si="85"/>
        <v>52.631578947368418</v>
      </c>
      <c r="N190">
        <f t="shared" si="91"/>
        <v>9.8000000000000007</v>
      </c>
      <c r="O190" s="12">
        <f t="shared" si="86"/>
        <v>515.78947368421052</v>
      </c>
      <c r="Q190" s="12">
        <f t="shared" si="92"/>
        <v>391.78397652564723</v>
      </c>
      <c r="R190" s="12">
        <f t="shared" si="93"/>
        <v>213.30460944174126</v>
      </c>
    </row>
    <row r="191" spans="1:18" x14ac:dyDescent="0.25">
      <c r="A191" s="36">
        <v>45775</v>
      </c>
      <c r="B191" s="7">
        <v>4253.75</v>
      </c>
      <c r="C191" s="12">
        <f t="shared" si="87"/>
        <v>18281</v>
      </c>
      <c r="D191" s="7">
        <f t="shared" si="82"/>
        <v>23.268694272742191</v>
      </c>
      <c r="G191">
        <f t="shared" si="88"/>
        <v>900</v>
      </c>
      <c r="H191">
        <f t="shared" si="89"/>
        <v>94.736842105263165</v>
      </c>
      <c r="I191">
        <f t="shared" si="90"/>
        <v>12</v>
      </c>
      <c r="J191" s="12">
        <f t="shared" si="83"/>
        <v>1136.8421052631579</v>
      </c>
      <c r="L191">
        <f t="shared" si="84"/>
        <v>500</v>
      </c>
      <c r="M191">
        <f t="shared" si="85"/>
        <v>52.631578947368418</v>
      </c>
      <c r="N191">
        <f t="shared" si="91"/>
        <v>12</v>
      </c>
      <c r="O191" s="12">
        <f t="shared" si="86"/>
        <v>631.57894736842104</v>
      </c>
      <c r="Q191" s="12">
        <f t="shared" si="92"/>
        <v>264.52831383749015</v>
      </c>
      <c r="R191" s="12">
        <f t="shared" si="93"/>
        <v>146.96017435416121</v>
      </c>
    </row>
    <row r="192" spans="1:18" x14ac:dyDescent="0.25">
      <c r="A192" s="36">
        <v>45776</v>
      </c>
      <c r="B192" s="7">
        <v>1812.5</v>
      </c>
      <c r="C192" s="12">
        <f t="shared" si="87"/>
        <v>18526</v>
      </c>
      <c r="D192" s="7">
        <f t="shared" si="82"/>
        <v>9.7835474468314789</v>
      </c>
      <c r="G192">
        <f t="shared" si="88"/>
        <v>900</v>
      </c>
      <c r="H192">
        <f t="shared" si="89"/>
        <v>94.736842105263165</v>
      </c>
      <c r="I192">
        <f t="shared" si="90"/>
        <v>10</v>
      </c>
      <c r="J192" s="12">
        <f t="shared" si="83"/>
        <v>947.36842105263167</v>
      </c>
      <c r="L192">
        <f t="shared" si="84"/>
        <v>500</v>
      </c>
      <c r="M192">
        <f t="shared" si="85"/>
        <v>52.631578947368418</v>
      </c>
      <c r="N192">
        <f t="shared" si="91"/>
        <v>12.2</v>
      </c>
      <c r="O192" s="12">
        <f t="shared" si="86"/>
        <v>642.10526315789468</v>
      </c>
      <c r="Q192" s="12">
        <f t="shared" si="92"/>
        <v>92.68623896998244</v>
      </c>
      <c r="R192" s="12">
        <f t="shared" si="93"/>
        <v>62.820673079654753</v>
      </c>
    </row>
    <row r="193" spans="1:18" x14ac:dyDescent="0.25">
      <c r="A193" s="36">
        <v>45777</v>
      </c>
      <c r="B193" s="7">
        <v>660</v>
      </c>
      <c r="C193" s="12">
        <f t="shared" si="87"/>
        <v>20025</v>
      </c>
      <c r="D193" s="7">
        <f t="shared" si="82"/>
        <v>3.2958801498127341</v>
      </c>
      <c r="G193">
        <f t="shared" si="88"/>
        <v>900</v>
      </c>
      <c r="H193">
        <f t="shared" si="89"/>
        <v>94.736842105263165</v>
      </c>
      <c r="I193">
        <f t="shared" si="90"/>
        <v>12</v>
      </c>
      <c r="J193" s="12">
        <f t="shared" si="83"/>
        <v>1136.8421052631579</v>
      </c>
      <c r="L193">
        <f t="shared" si="84"/>
        <v>500</v>
      </c>
      <c r="M193">
        <f t="shared" si="85"/>
        <v>52.631578947368418</v>
      </c>
      <c r="N193">
        <f t="shared" si="91"/>
        <v>12</v>
      </c>
      <c r="O193" s="12">
        <f t="shared" si="86"/>
        <v>631.57894736842104</v>
      </c>
      <c r="Q193" s="12">
        <f t="shared" si="92"/>
        <v>37.468953282081607</v>
      </c>
      <c r="R193" s="12">
        <f t="shared" si="93"/>
        <v>20.816085156712006</v>
      </c>
    </row>
    <row r="194" spans="1:18" x14ac:dyDescent="0.25">
      <c r="A194" s="36">
        <v>45784</v>
      </c>
      <c r="B194" s="7">
        <v>250</v>
      </c>
      <c r="C194" s="12">
        <v>16857</v>
      </c>
      <c r="D194" s="7">
        <f t="shared" si="82"/>
        <v>1.4830634157916591</v>
      </c>
      <c r="G194">
        <f t="shared" si="88"/>
        <v>900</v>
      </c>
      <c r="H194">
        <f t="shared" si="89"/>
        <v>94.736842105263165</v>
      </c>
      <c r="I194">
        <v>10.5</v>
      </c>
      <c r="J194" s="12">
        <f t="shared" si="83"/>
        <v>994.73684210526324</v>
      </c>
      <c r="L194">
        <f t="shared" si="84"/>
        <v>500</v>
      </c>
      <c r="M194">
        <f t="shared" si="85"/>
        <v>52.631578947368418</v>
      </c>
      <c r="N194">
        <v>11.5</v>
      </c>
      <c r="O194" s="12">
        <f t="shared" si="86"/>
        <v>605.26315789473676</v>
      </c>
      <c r="Q194" s="12">
        <f t="shared" si="92"/>
        <v>14.752578188664399</v>
      </c>
      <c r="R194" s="12">
        <f t="shared" si="93"/>
        <v>8.9764364640021448</v>
      </c>
    </row>
    <row r="195" spans="1:18" x14ac:dyDescent="0.25">
      <c r="A195" s="37">
        <v>45785</v>
      </c>
      <c r="B195" s="25">
        <v>250</v>
      </c>
      <c r="C195" s="12">
        <v>16234</v>
      </c>
      <c r="D195" s="7">
        <f t="shared" si="82"/>
        <v>1.5399778243193298</v>
      </c>
      <c r="G195">
        <f t="shared" si="88"/>
        <v>900</v>
      </c>
      <c r="H195">
        <f t="shared" si="89"/>
        <v>94.736842105263165</v>
      </c>
      <c r="I195">
        <v>11.5</v>
      </c>
      <c r="J195" s="12">
        <f t="shared" si="83"/>
        <v>1089.4736842105265</v>
      </c>
      <c r="L195">
        <f t="shared" si="84"/>
        <v>500</v>
      </c>
      <c r="M195">
        <f t="shared" si="85"/>
        <v>52.631578947368418</v>
      </c>
      <c r="N195">
        <v>11.5</v>
      </c>
      <c r="O195" s="12">
        <f t="shared" si="86"/>
        <v>605.26315789473676</v>
      </c>
      <c r="Q195" s="35">
        <f t="shared" si="92"/>
        <v>16.777653138636914</v>
      </c>
      <c r="R195" s="35">
        <f t="shared" si="93"/>
        <v>9.3209184103538369</v>
      </c>
    </row>
    <row r="196" spans="1:18" x14ac:dyDescent="0.25">
      <c r="Q196" s="12">
        <f>SUM(Q184:Q195)</f>
        <v>1476.6349449475206</v>
      </c>
      <c r="R196" s="12">
        <f>SUM(R184:R195)</f>
        <v>893.71224981106309</v>
      </c>
    </row>
    <row r="198" spans="1:18" x14ac:dyDescent="0.25">
      <c r="A198" s="11" t="s">
        <v>55</v>
      </c>
    </row>
    <row r="199" spans="1:18" x14ac:dyDescent="0.25">
      <c r="A199" s="8" t="s">
        <v>6</v>
      </c>
      <c r="B199" s="8" t="s">
        <v>56</v>
      </c>
      <c r="C199" s="22" t="s">
        <v>50</v>
      </c>
      <c r="D199" s="22" t="s">
        <v>9</v>
      </c>
      <c r="G199" t="s">
        <v>57</v>
      </c>
    </row>
    <row r="200" spans="1:18" x14ac:dyDescent="0.25">
      <c r="A200" s="50">
        <v>45801</v>
      </c>
      <c r="B200" s="49">
        <v>1063.75</v>
      </c>
      <c r="C200">
        <f>+VLOOKUP(A200,'Undivideable Expenses'!$U$4:$W$34,3,0)</f>
        <v>13703.75</v>
      </c>
      <c r="D200">
        <f>+B200/C200*100</f>
        <v>7.7624737754264341</v>
      </c>
      <c r="G200" s="12">
        <v>1368.6498254668929</v>
      </c>
      <c r="H200">
        <f>+G200/100*D200</f>
        <v>106.24108377928722</v>
      </c>
    </row>
    <row r="201" spans="1:18" x14ac:dyDescent="0.25">
      <c r="A201" s="50">
        <v>45803</v>
      </c>
      <c r="B201" s="49">
        <v>3445</v>
      </c>
      <c r="C201">
        <f>+VLOOKUP(A201,'Undivideable Expenses'!$U$4:$W$34,3,0)</f>
        <v>10873</v>
      </c>
      <c r="D201">
        <f t="shared" ref="D201:D206" si="94">+B201/C201*100</f>
        <v>31.683987859836293</v>
      </c>
      <c r="G201" s="12">
        <f>1387.09677419355+1563.6584475382</f>
        <v>2950.7552217317498</v>
      </c>
      <c r="H201">
        <f t="shared" ref="H201:H206" si="95">+G201/100*D201</f>
        <v>934.91692622697303</v>
      </c>
    </row>
    <row r="202" spans="1:18" x14ac:dyDescent="0.25">
      <c r="A202" s="50">
        <v>45804</v>
      </c>
      <c r="B202" s="49">
        <v>1457.5</v>
      </c>
      <c r="C202">
        <f>+VLOOKUP(A202,'Undivideable Expenses'!$U$4:$W$34,3,0)</f>
        <v>9041.875</v>
      </c>
      <c r="D202">
        <f t="shared" si="94"/>
        <v>16.11944425243658</v>
      </c>
      <c r="G202" s="12">
        <v>1366.272924957555</v>
      </c>
      <c r="H202">
        <f t="shared" si="95"/>
        <v>220.23560247466776</v>
      </c>
    </row>
    <row r="203" spans="1:18" x14ac:dyDescent="0.25">
      <c r="A203" s="50">
        <v>45805</v>
      </c>
      <c r="B203" s="49">
        <v>1622.5</v>
      </c>
      <c r="C203">
        <f>+VLOOKUP(A203,'Undivideable Expenses'!$U$4:$W$34,3,0)</f>
        <v>14867.75</v>
      </c>
      <c r="D203">
        <f t="shared" si="94"/>
        <v>10.912881908829513</v>
      </c>
      <c r="G203" s="12">
        <v>1758.8680095076402</v>
      </c>
      <c r="H203">
        <f t="shared" si="95"/>
        <v>191.94318880974905</v>
      </c>
    </row>
    <row r="204" spans="1:18" x14ac:dyDescent="0.25">
      <c r="A204" s="50">
        <v>45806</v>
      </c>
      <c r="B204" s="49">
        <v>1863.75</v>
      </c>
      <c r="C204">
        <f>+VLOOKUP(A204,'Undivideable Expenses'!$U$4:$W$34,3,0)</f>
        <v>16135</v>
      </c>
      <c r="D204">
        <f t="shared" si="94"/>
        <v>11.550976138828634</v>
      </c>
      <c r="G204" s="12">
        <v>1614.6939300509337</v>
      </c>
      <c r="H204">
        <f t="shared" si="95"/>
        <v>186.5129105752977</v>
      </c>
    </row>
    <row r="205" spans="1:18" x14ac:dyDescent="0.25">
      <c r="A205" s="50">
        <v>45807</v>
      </c>
      <c r="B205" s="49">
        <v>221.25</v>
      </c>
      <c r="C205">
        <f>+VLOOKUP(A205,'Undivideable Expenses'!$U$4:$W$34,3,0)</f>
        <v>16196</v>
      </c>
      <c r="D205">
        <f t="shared" si="94"/>
        <v>1.3660780439614721</v>
      </c>
      <c r="G205" s="12">
        <v>1765.2516631578947</v>
      </c>
      <c r="H205">
        <f t="shared" si="95"/>
        <v>24.114715391064724</v>
      </c>
    </row>
    <row r="206" spans="1:18" x14ac:dyDescent="0.25">
      <c r="A206" s="50">
        <v>45811</v>
      </c>
      <c r="B206" s="49">
        <v>615</v>
      </c>
      <c r="C206">
        <v>14801</v>
      </c>
      <c r="D206">
        <f t="shared" si="94"/>
        <v>4.1551246537396125</v>
      </c>
      <c r="G206" s="12">
        <v>1706</v>
      </c>
      <c r="H206">
        <f t="shared" si="95"/>
        <v>70.88642659279779</v>
      </c>
    </row>
    <row r="210" spans="1:8" x14ac:dyDescent="0.25">
      <c r="A210" s="11" t="s">
        <v>58</v>
      </c>
    </row>
    <row r="211" spans="1:8" x14ac:dyDescent="0.25">
      <c r="A211" s="8" t="s">
        <v>6</v>
      </c>
      <c r="B211" s="8" t="s">
        <v>59</v>
      </c>
      <c r="C211" s="22" t="s">
        <v>50</v>
      </c>
      <c r="D211" s="22" t="s">
        <v>9</v>
      </c>
      <c r="G211" t="s">
        <v>57</v>
      </c>
    </row>
    <row r="212" spans="1:8" x14ac:dyDescent="0.25">
      <c r="A212" s="50">
        <v>45801</v>
      </c>
      <c r="B212" s="49">
        <v>1608.75</v>
      </c>
      <c r="C212">
        <f>+VLOOKUP(A212,'Undivideable Expenses'!$U$4:$W$66,3,0)</f>
        <v>13703.75</v>
      </c>
      <c r="D212">
        <f t="shared" ref="D212:D226" si="96">+B212/C212*100</f>
        <v>11.739487366596734</v>
      </c>
      <c r="G212" s="12">
        <f>+VLOOKUP(A212,'Undivideable Expenses'!$U$4:$V$66,2,0)</f>
        <v>1368.6498254668929</v>
      </c>
      <c r="H212">
        <f>+G212/100*D212</f>
        <v>160.67247335363416</v>
      </c>
    </row>
    <row r="213" spans="1:8" x14ac:dyDescent="0.25">
      <c r="A213" s="50">
        <v>45803</v>
      </c>
      <c r="B213" s="49">
        <v>5696.25</v>
      </c>
      <c r="C213">
        <f>+VLOOKUP(A213,'Undivideable Expenses'!$U$4:$W$66,3,0)</f>
        <v>10873</v>
      </c>
      <c r="D213">
        <f t="shared" si="96"/>
        <v>52.3889450933505</v>
      </c>
      <c r="G213" s="12">
        <f>+VLOOKUP(A213,'Undivideable Expenses'!$U$4:$V$66,2,0)</f>
        <v>1563.6584475382006</v>
      </c>
      <c r="H213">
        <f t="shared" ref="H213:H225" si="97">+G213/100*D213</f>
        <v>819.18416552832468</v>
      </c>
    </row>
    <row r="214" spans="1:8" x14ac:dyDescent="0.25">
      <c r="A214" s="50">
        <v>45804</v>
      </c>
      <c r="B214" s="49">
        <v>6925</v>
      </c>
      <c r="C214">
        <f>+VLOOKUP(A214,'Undivideable Expenses'!$U$4:$W$66,3,0)</f>
        <v>9041.875</v>
      </c>
      <c r="D214">
        <f t="shared" si="96"/>
        <v>76.588097048455111</v>
      </c>
      <c r="G214" s="12">
        <f>+VLOOKUP(A214,'Undivideable Expenses'!$U$4:$V$66,2,0)</f>
        <v>1366.272924957555</v>
      </c>
      <c r="H214">
        <f t="shared" si="97"/>
        <v>1046.4024337132585</v>
      </c>
    </row>
    <row r="215" spans="1:8" x14ac:dyDescent="0.25">
      <c r="A215" s="50">
        <v>45805</v>
      </c>
      <c r="B215" s="49">
        <v>10516.25</v>
      </c>
      <c r="C215">
        <f>+VLOOKUP(A215,'Undivideable Expenses'!$U$4:$W$66,3,0)</f>
        <v>14867.75</v>
      </c>
      <c r="D215">
        <f t="shared" si="96"/>
        <v>70.731953389046765</v>
      </c>
      <c r="G215" s="12">
        <f>+VLOOKUP(A215,'Undivideable Expenses'!$U$4:$V$66,2,0)</f>
        <v>1758.8680095076402</v>
      </c>
      <c r="H215">
        <f t="shared" si="97"/>
        <v>1244.0817006597988</v>
      </c>
    </row>
    <row r="216" spans="1:8" x14ac:dyDescent="0.25">
      <c r="A216" s="50">
        <v>45806</v>
      </c>
      <c r="B216" s="49">
        <v>5525</v>
      </c>
      <c r="C216">
        <f>+VLOOKUP(A216,'Undivideable Expenses'!$U$4:$W$66,3,0)</f>
        <v>16135</v>
      </c>
      <c r="D216">
        <f t="shared" si="96"/>
        <v>34.242330337775023</v>
      </c>
      <c r="G216" s="12">
        <f>+VLOOKUP(A216,'Undivideable Expenses'!$U$4:$V$66,2,0)</f>
        <v>1614.6939300509337</v>
      </c>
      <c r="H216">
        <f t="shared" si="97"/>
        <v>552.90882947204273</v>
      </c>
    </row>
    <row r="217" spans="1:8" x14ac:dyDescent="0.25">
      <c r="A217" s="50">
        <v>45807</v>
      </c>
      <c r="B217" s="49">
        <v>3065</v>
      </c>
      <c r="C217">
        <f>+VLOOKUP(A217,'Undivideable Expenses'!$U$4:$W$66,3,0)</f>
        <v>16196</v>
      </c>
      <c r="D217">
        <f t="shared" si="96"/>
        <v>18.924425784144233</v>
      </c>
      <c r="G217" s="12">
        <f>+VLOOKUP(A217,'Undivideable Expenses'!$U$4:$V$66,2,0)</f>
        <v>1765.2516631578947</v>
      </c>
      <c r="H217">
        <f t="shared" si="97"/>
        <v>334.06374089768752</v>
      </c>
    </row>
    <row r="218" spans="1:8" x14ac:dyDescent="0.25">
      <c r="A218" s="50">
        <v>45808</v>
      </c>
      <c r="B218" s="49">
        <v>826.25</v>
      </c>
      <c r="C218">
        <f>+VLOOKUP(A218,'Undivideable Expenses'!$U$4:$W$66,3,0)</f>
        <v>15996</v>
      </c>
      <c r="D218">
        <f t="shared" si="96"/>
        <v>5.1653538384596152</v>
      </c>
      <c r="G218" s="12">
        <f>+VLOOKUP(A218,'Undivideable Expenses'!$U$4:$V$66,2,0)</f>
        <v>1766.711755517827</v>
      </c>
      <c r="H218">
        <f t="shared" si="97"/>
        <v>91.25691347815733</v>
      </c>
    </row>
    <row r="219" spans="1:8" x14ac:dyDescent="0.25">
      <c r="A219" s="50">
        <v>45811</v>
      </c>
      <c r="B219" s="49">
        <v>125</v>
      </c>
      <c r="C219">
        <f>+VLOOKUP(A219,'Undivideable Expenses'!$U$4:$W$66,3,0)</f>
        <v>14801</v>
      </c>
      <c r="D219">
        <f t="shared" si="96"/>
        <v>0.84453753124788866</v>
      </c>
      <c r="G219" s="12">
        <f>+VLOOKUP(A219,'Undivideable Expenses'!$U$4:$V$66,2,0)</f>
        <v>1706.7662280701757</v>
      </c>
      <c r="H219">
        <f t="shared" si="97"/>
        <v>14.414281366716571</v>
      </c>
    </row>
    <row r="220" spans="1:8" x14ac:dyDescent="0.25">
      <c r="A220" s="50">
        <v>45812</v>
      </c>
      <c r="B220" s="49">
        <v>402.5</v>
      </c>
      <c r="C220">
        <f>+VLOOKUP(A220,'Undivideable Expenses'!$U$4:$W$66,3,0)</f>
        <v>14754.875</v>
      </c>
      <c r="D220">
        <f t="shared" si="96"/>
        <v>2.7279119613009257</v>
      </c>
      <c r="G220" s="12">
        <f>+VLOOKUP(A220,'Undivideable Expenses'!$U$4:$V$66,2,0)</f>
        <v>1705.9112280701754</v>
      </c>
      <c r="H220">
        <f t="shared" si="97"/>
        <v>46.535756439701828</v>
      </c>
    </row>
    <row r="221" spans="1:8" x14ac:dyDescent="0.25">
      <c r="A221" s="50">
        <v>45813</v>
      </c>
      <c r="B221" s="49">
        <v>230</v>
      </c>
      <c r="C221">
        <f>+VLOOKUP(A221,'Undivideable Expenses'!$U$4:$W$66,3,0)</f>
        <v>13796</v>
      </c>
      <c r="D221">
        <f t="shared" si="96"/>
        <v>1.6671498985213105</v>
      </c>
      <c r="G221" s="12">
        <f>+VLOOKUP(A221,'Undivideable Expenses'!$U$4:$V$66,2,0)</f>
        <v>1724.8858771929827</v>
      </c>
      <c r="H221">
        <f t="shared" si="97"/>
        <v>28.756433151231224</v>
      </c>
    </row>
    <row r="222" spans="1:8" x14ac:dyDescent="0.25">
      <c r="A222" s="50">
        <v>45814</v>
      </c>
      <c r="B222" s="49">
        <v>632.5</v>
      </c>
      <c r="C222">
        <f>+VLOOKUP(A222,'Undivideable Expenses'!$U$4:$W$66,3,0)</f>
        <v>14275</v>
      </c>
      <c r="D222">
        <f t="shared" si="96"/>
        <v>4.4308231173380035</v>
      </c>
      <c r="G222" s="12">
        <f>+VLOOKUP(A222,'Undivideable Expenses'!$U$4:$V$66,2,0)</f>
        <v>1570.6645614035087</v>
      </c>
      <c r="H222">
        <f t="shared" si="97"/>
        <v>69.593368482502228</v>
      </c>
    </row>
    <row r="223" spans="1:8" x14ac:dyDescent="0.25">
      <c r="A223" s="50">
        <v>45815</v>
      </c>
      <c r="B223" s="49">
        <v>230</v>
      </c>
      <c r="C223">
        <f>+VLOOKUP(A223,'Undivideable Expenses'!$U$4:$W$66,3,0)</f>
        <v>8940</v>
      </c>
      <c r="D223">
        <f t="shared" si="96"/>
        <v>2.5727069351230423</v>
      </c>
      <c r="G223" s="12">
        <f>+VLOOKUP(A223,'Undivideable Expenses'!$U$4:$V$66,2,0)</f>
        <v>1295.1542105263159</v>
      </c>
      <c r="H223">
        <f t="shared" si="97"/>
        <v>33.320522194748612</v>
      </c>
    </row>
    <row r="224" spans="1:8" x14ac:dyDescent="0.25">
      <c r="A224" s="50">
        <v>45818</v>
      </c>
      <c r="B224" s="49">
        <v>737.5</v>
      </c>
      <c r="C224">
        <f>+VLOOKUP(A224,'Undivideable Expenses'!$U$4:$W$66,3,0)</f>
        <v>15683</v>
      </c>
      <c r="D224">
        <f t="shared" si="96"/>
        <v>4.7025441560925838</v>
      </c>
      <c r="G224" s="12">
        <f>+VLOOKUP(A224,'Undivideable Expenses'!$U$4:$V$66,2,0)</f>
        <v>1423.4597368421053</v>
      </c>
      <c r="H224">
        <f t="shared" si="97"/>
        <v>66.938822669199297</v>
      </c>
    </row>
    <row r="225" spans="1:8" x14ac:dyDescent="0.25">
      <c r="A225" s="50">
        <v>45828</v>
      </c>
      <c r="B225" s="49">
        <v>122.5</v>
      </c>
      <c r="C225">
        <f>+VLOOKUP(A225,'Undivideable Expenses'!$U$4:$W$66,3,0)</f>
        <v>18628</v>
      </c>
      <c r="D225">
        <f t="shared" si="96"/>
        <v>0.65761219669315008</v>
      </c>
      <c r="G225" s="12">
        <f>+VLOOKUP(A225,'Undivideable Expenses'!$U$4:$V$66,2,0)</f>
        <v>1703.9334210526317</v>
      </c>
      <c r="H225">
        <f t="shared" si="97"/>
        <v>11.205274000372953</v>
      </c>
    </row>
    <row r="226" spans="1:8" x14ac:dyDescent="0.25">
      <c r="A226" s="50">
        <v>45835</v>
      </c>
      <c r="B226" s="49">
        <v>185</v>
      </c>
      <c r="C226">
        <v>20000</v>
      </c>
      <c r="D226">
        <f t="shared" si="96"/>
        <v>0.92499999999999993</v>
      </c>
      <c r="G226" s="12">
        <f>+VLOOKUP(A226,'Undivideable Expenses'!$U$4:$V$66,2,0)</f>
        <v>1245.8914912280702</v>
      </c>
    </row>
    <row r="230" spans="1:8" x14ac:dyDescent="0.25">
      <c r="A230" t="s">
        <v>60</v>
      </c>
    </row>
    <row r="231" spans="1:8" x14ac:dyDescent="0.25">
      <c r="A231" s="8" t="s">
        <v>6</v>
      </c>
      <c r="B231" s="8" t="s">
        <v>61</v>
      </c>
      <c r="C231" s="22" t="s">
        <v>50</v>
      </c>
      <c r="D231" s="22" t="s">
        <v>9</v>
      </c>
      <c r="G231" t="s">
        <v>57</v>
      </c>
    </row>
    <row r="232" spans="1:8" x14ac:dyDescent="0.25">
      <c r="A232" s="6">
        <v>45796</v>
      </c>
      <c r="B232" s="12">
        <v>352.5</v>
      </c>
      <c r="C232">
        <f>+VLOOKUP(A232,'Undivideable Expenses'!$U$4:$W$66,3,0)</f>
        <v>11775.125</v>
      </c>
      <c r="D232">
        <f t="shared" ref="D232:D236" si="98">+B232/C232*100</f>
        <v>2.9935987940680033</v>
      </c>
      <c r="G232" s="12">
        <f>+VLOOKUP(A232,'Undivideable Expenses'!$U$4:$V$66,2,0)</f>
        <v>1380.3305643463495</v>
      </c>
      <c r="H232">
        <f>+G232/100*D232</f>
        <v>41.321559128424383</v>
      </c>
    </row>
    <row r="233" spans="1:8" x14ac:dyDescent="0.25">
      <c r="A233" s="6">
        <v>45797</v>
      </c>
      <c r="B233" s="12">
        <v>3045</v>
      </c>
      <c r="C233">
        <f>+VLOOKUP(A233,'Undivideable Expenses'!$U$4:$W$66,3,0)</f>
        <v>14170</v>
      </c>
      <c r="D233">
        <f t="shared" si="98"/>
        <v>21.489061397318281</v>
      </c>
      <c r="G233" s="12">
        <f>+VLOOKUP(A233,'Undivideable Expenses'!$U$4:$V$66,2,0)</f>
        <v>1395.3050118845501</v>
      </c>
      <c r="H233">
        <f t="shared" ref="H233:H236" si="99">+G233/100*D233</f>
        <v>299.83795068373013</v>
      </c>
    </row>
    <row r="234" spans="1:8" x14ac:dyDescent="0.25">
      <c r="A234" s="6">
        <v>45798</v>
      </c>
      <c r="B234" s="12">
        <v>3923.75</v>
      </c>
      <c r="C234">
        <f>+VLOOKUP(A234,'Undivideable Expenses'!$U$4:$W$66,3,0)</f>
        <v>17514</v>
      </c>
      <c r="D234">
        <f t="shared" si="98"/>
        <v>22.403505766815119</v>
      </c>
      <c r="G234" s="12">
        <f>+VLOOKUP(A234,'Undivideable Expenses'!$U$4:$V$66,2,0)</f>
        <v>1463.0125446519523</v>
      </c>
      <c r="H234">
        <f t="shared" si="99"/>
        <v>327.76609981032874</v>
      </c>
    </row>
    <row r="235" spans="1:8" x14ac:dyDescent="0.25">
      <c r="A235" s="6">
        <v>45799</v>
      </c>
      <c r="B235" s="12">
        <v>1952.5</v>
      </c>
      <c r="C235">
        <f>+VLOOKUP(A235,'Undivideable Expenses'!$U$4:$W$66,3,0)</f>
        <v>15973</v>
      </c>
      <c r="D235">
        <f t="shared" si="98"/>
        <v>12.223752582482939</v>
      </c>
      <c r="G235" s="12">
        <f>+VLOOKUP(A235,'Undivideable Expenses'!$U$4:$V$66,2,0)</f>
        <v>1755.778064516129</v>
      </c>
      <c r="H235">
        <f t="shared" si="99"/>
        <v>214.6219665039593</v>
      </c>
    </row>
    <row r="236" spans="1:8" x14ac:dyDescent="0.25">
      <c r="A236" s="6">
        <v>45800</v>
      </c>
      <c r="B236" s="12">
        <v>742.5</v>
      </c>
      <c r="C236">
        <f>+VLOOKUP(A236,'Undivideable Expenses'!$U$4:$W$66,3,0)</f>
        <v>17404.5</v>
      </c>
      <c r="D236">
        <f t="shared" si="98"/>
        <v>4.2661380677411014</v>
      </c>
      <c r="G236" s="12">
        <f>+VLOOKUP(A236,'Undivideable Expenses'!$U$4:$V$66,2,0)</f>
        <v>1757.0343932088285</v>
      </c>
      <c r="H236">
        <f t="shared" si="99"/>
        <v>74.957513111985705</v>
      </c>
    </row>
    <row r="237" spans="1:8" x14ac:dyDescent="0.25">
      <c r="A237" s="6"/>
      <c r="B237" s="12"/>
      <c r="G237" s="12"/>
    </row>
    <row r="238" spans="1:8" x14ac:dyDescent="0.25">
      <c r="A238" s="6"/>
      <c r="B238" s="12"/>
      <c r="G238" s="12"/>
    </row>
    <row r="240" spans="1:8" x14ac:dyDescent="0.25">
      <c r="A240" t="s">
        <v>62</v>
      </c>
      <c r="G240" t="s">
        <v>5</v>
      </c>
    </row>
    <row r="241" spans="1:8" x14ac:dyDescent="0.25">
      <c r="A241" s="8" t="s">
        <v>6</v>
      </c>
      <c r="B241" s="8" t="s">
        <v>63</v>
      </c>
      <c r="C241" s="22" t="s">
        <v>50</v>
      </c>
      <c r="D241" s="22" t="s">
        <v>9</v>
      </c>
      <c r="G241" t="s">
        <v>57</v>
      </c>
      <c r="H241" t="s">
        <v>5</v>
      </c>
    </row>
    <row r="242" spans="1:8" x14ac:dyDescent="0.25">
      <c r="A242" s="6">
        <v>45792</v>
      </c>
      <c r="B242">
        <v>143.75</v>
      </c>
      <c r="C242">
        <f>+VLOOKUP(A242,'Undivideable Expenses'!$U$4:$W$66,3,0)</f>
        <v>15938</v>
      </c>
      <c r="D242">
        <f t="shared" ref="D242" si="100">+B242/C242*100</f>
        <v>0.90193248839252094</v>
      </c>
      <c r="G242" s="12">
        <f>+VLOOKUP(A242,'Undivideable Expenses'!$U$4:$V$66,2,0)</f>
        <v>1036.9100169779288</v>
      </c>
      <c r="H242">
        <f t="shared" ref="H242" si="101">+G242/100*D242</f>
        <v>9.3522283185203445</v>
      </c>
    </row>
    <row r="243" spans="1:8" x14ac:dyDescent="0.25">
      <c r="A243" s="6">
        <v>45793</v>
      </c>
      <c r="B243">
        <v>4517.5</v>
      </c>
      <c r="C243">
        <f>+VLOOKUP(A243,'Undivideable Expenses'!$U$4:$W$66,3,0)</f>
        <v>12700</v>
      </c>
      <c r="D243">
        <f t="shared" ref="D243:D255" si="102">+B243/C243*100</f>
        <v>35.570866141732282</v>
      </c>
      <c r="G243" s="12">
        <f>+VLOOKUP(A243,'Undivideable Expenses'!$U$4:$V$66,2,0)</f>
        <v>852.63157894736844</v>
      </c>
      <c r="H243">
        <f t="shared" ref="H243:H255" si="103">+G243/100*D243</f>
        <v>303.28843762950686</v>
      </c>
    </row>
    <row r="244" spans="1:8" x14ac:dyDescent="0.25">
      <c r="A244" s="6">
        <v>45794</v>
      </c>
      <c r="B244">
        <v>5540</v>
      </c>
      <c r="C244">
        <f>+VLOOKUP(A244,'Undivideable Expenses'!$U$4:$W$66,3,0)</f>
        <v>15607</v>
      </c>
      <c r="D244">
        <f t="shared" si="102"/>
        <v>35.496892420067915</v>
      </c>
      <c r="G244" s="12">
        <f>+VLOOKUP(A244,'Undivideable Expenses'!$U$4:$V$66,2,0)</f>
        <v>1690.2436685908319</v>
      </c>
      <c r="H244">
        <f t="shared" si="103"/>
        <v>599.9839766766969</v>
      </c>
    </row>
    <row r="245" spans="1:8" x14ac:dyDescent="0.25">
      <c r="A245" s="6">
        <v>45795</v>
      </c>
      <c r="B245">
        <v>5608.333333333333</v>
      </c>
      <c r="C245">
        <f>+VLOOKUP(A245,'Undivideable Expenses'!$U$4:$W$66,3,0)</f>
        <v>13100</v>
      </c>
      <c r="D245">
        <f t="shared" si="102"/>
        <v>42.8117048346056</v>
      </c>
      <c r="G245" s="12">
        <f>+VLOOKUP(A245,'Undivideable Expenses'!$U$4:$V$66,2,0)</f>
        <v>2736.7653989813243</v>
      </c>
      <c r="H245">
        <f t="shared" si="103"/>
        <v>1171.6559246275008</v>
      </c>
    </row>
    <row r="246" spans="1:8" x14ac:dyDescent="0.25">
      <c r="A246" s="6">
        <v>45796</v>
      </c>
      <c r="B246">
        <v>5250</v>
      </c>
      <c r="C246">
        <f>+VLOOKUP(A246,'Undivideable Expenses'!$U$4:$W$66,3,0)</f>
        <v>11775.125</v>
      </c>
      <c r="D246">
        <f t="shared" si="102"/>
        <v>44.585513954204309</v>
      </c>
      <c r="G246" s="12">
        <f>+VLOOKUP(A246,'Undivideable Expenses'!$U$4:$V$66,2,0)</f>
        <v>1380.3305643463495</v>
      </c>
      <c r="H246">
        <f t="shared" si="103"/>
        <v>615.42747638078879</v>
      </c>
    </row>
    <row r="247" spans="1:8" x14ac:dyDescent="0.25">
      <c r="A247" s="6">
        <v>45797</v>
      </c>
      <c r="B247">
        <v>5046.25</v>
      </c>
      <c r="C247">
        <f>+VLOOKUP(A247,'Undivideable Expenses'!$U$4:$W$66,3,0)</f>
        <v>14170</v>
      </c>
      <c r="D247">
        <f t="shared" si="102"/>
        <v>35.612208892025407</v>
      </c>
      <c r="G247" s="12">
        <f>+VLOOKUP(A247,'Undivideable Expenses'!$U$4:$V$66,2,0)</f>
        <v>1395.3050118845501</v>
      </c>
      <c r="H247">
        <f t="shared" si="103"/>
        <v>496.89893551322592</v>
      </c>
    </row>
    <row r="248" spans="1:8" x14ac:dyDescent="0.25">
      <c r="A248" s="6">
        <v>45798</v>
      </c>
      <c r="B248">
        <v>1298.75</v>
      </c>
      <c r="C248">
        <f>+VLOOKUP(A248,'Undivideable Expenses'!$U$4:$W$66,3,0)</f>
        <v>17514</v>
      </c>
      <c r="D248">
        <f t="shared" si="102"/>
        <v>7.4154961744889807</v>
      </c>
      <c r="G248" s="12">
        <f>+VLOOKUP(A248,'Undivideable Expenses'!$U$4:$V$66,2,0)</f>
        <v>1463.0125446519523</v>
      </c>
      <c r="H248">
        <f t="shared" si="103"/>
        <v>108.48963928095941</v>
      </c>
    </row>
    <row r="249" spans="1:8" x14ac:dyDescent="0.25">
      <c r="A249" s="6">
        <v>45805</v>
      </c>
      <c r="B249">
        <v>287.5</v>
      </c>
      <c r="C249">
        <f>+VLOOKUP(A249,'Undivideable Expenses'!$U$4:$W$66,3,0)</f>
        <v>14867.75</v>
      </c>
      <c r="D249">
        <f t="shared" si="102"/>
        <v>1.9337155924736424</v>
      </c>
      <c r="G249" s="12">
        <f>+VLOOKUP(A249,'Undivideable Expenses'!$U$4:$V$66,2,0)</f>
        <v>1758.8680095076402</v>
      </c>
      <c r="H249">
        <f t="shared" si="103"/>
        <v>34.011504950880024</v>
      </c>
    </row>
    <row r="250" spans="1:8" x14ac:dyDescent="0.25">
      <c r="A250" s="6">
        <v>45806</v>
      </c>
      <c r="B250">
        <v>517.5</v>
      </c>
      <c r="C250">
        <f>+VLOOKUP(A250,'Undivideable Expenses'!$U$4:$W$66,3,0)</f>
        <v>16135</v>
      </c>
      <c r="D250">
        <f t="shared" si="102"/>
        <v>3.2073132940811897</v>
      </c>
      <c r="G250" s="12">
        <f>+VLOOKUP(A250,'Undivideable Expenses'!$U$4:$V$66,2,0)</f>
        <v>1614.6939300509337</v>
      </c>
      <c r="H250">
        <f t="shared" si="103"/>
        <v>51.788293077245626</v>
      </c>
    </row>
    <row r="251" spans="1:8" x14ac:dyDescent="0.25">
      <c r="A251" s="6">
        <v>45807</v>
      </c>
      <c r="B251">
        <v>287.5</v>
      </c>
      <c r="C251">
        <f>+VLOOKUP(A251,'Undivideable Expenses'!$U$4:$W$66,3,0)</f>
        <v>16196</v>
      </c>
      <c r="D251">
        <f t="shared" si="102"/>
        <v>1.7751296616448506</v>
      </c>
      <c r="G251" s="12">
        <f>+VLOOKUP(A251,'Undivideable Expenses'!$U$4:$V$66,2,0)</f>
        <v>1765.2516631578947</v>
      </c>
      <c r="H251">
        <f t="shared" si="103"/>
        <v>31.335505875394837</v>
      </c>
    </row>
    <row r="252" spans="1:8" x14ac:dyDescent="0.25">
      <c r="A252" s="6">
        <v>45808</v>
      </c>
      <c r="B252">
        <v>172.5</v>
      </c>
      <c r="C252">
        <f>+VLOOKUP(A252,'Undivideable Expenses'!$U$4:$W$66,3,0)</f>
        <v>15996</v>
      </c>
      <c r="D252">
        <f t="shared" si="102"/>
        <v>1.0783945986496624</v>
      </c>
      <c r="G252" s="12">
        <f>+VLOOKUP(A252,'Undivideable Expenses'!$U$4:$V$66,2,0)</f>
        <v>1766.711755517827</v>
      </c>
      <c r="H252">
        <f t="shared" si="103"/>
        <v>19.052124145212872</v>
      </c>
    </row>
    <row r="253" spans="1:8" x14ac:dyDescent="0.25">
      <c r="A253" s="6">
        <v>45809</v>
      </c>
      <c r="B253">
        <v>230</v>
      </c>
      <c r="C253">
        <f>+VLOOKUP(A253,'Undivideable Expenses'!$U$4:$W$66,3,0)</f>
        <v>11500</v>
      </c>
      <c r="D253">
        <f t="shared" si="102"/>
        <v>2</v>
      </c>
      <c r="G253" s="12">
        <f>+VLOOKUP(A253,'Undivideable Expenses'!$U$4:$V$66,2,0)</f>
        <v>2433.8756140350879</v>
      </c>
      <c r="H253">
        <f t="shared" si="103"/>
        <v>48.677512280701755</v>
      </c>
    </row>
    <row r="254" spans="1:8" x14ac:dyDescent="0.25">
      <c r="A254" s="6">
        <v>45810</v>
      </c>
      <c r="B254">
        <v>287.5</v>
      </c>
      <c r="C254">
        <f>+VLOOKUP(A254,'Undivideable Expenses'!$U$4:$W$66,3,0)</f>
        <v>15005</v>
      </c>
      <c r="D254">
        <f t="shared" si="102"/>
        <v>1.9160279906697768</v>
      </c>
      <c r="G254" s="12">
        <f>+VLOOKUP(A254,'Undivideable Expenses'!$U$4:$V$66,2,0)</f>
        <v>1559.0913157894738</v>
      </c>
      <c r="H254">
        <f t="shared" si="103"/>
        <v>29.872626010628039</v>
      </c>
    </row>
    <row r="255" spans="1:8" x14ac:dyDescent="0.25">
      <c r="A255" s="6">
        <v>45821</v>
      </c>
      <c r="B255">
        <v>57.5</v>
      </c>
      <c r="C255">
        <f>+VLOOKUP(A255,'Undivideable Expenses'!$U$4:$W$66,3,0)</f>
        <v>15404</v>
      </c>
      <c r="D255">
        <f t="shared" si="102"/>
        <v>0.37327966761880033</v>
      </c>
      <c r="G255" s="12">
        <f>+VLOOKUP(A255,'Undivideable Expenses'!$U$4:$V$66,2,0)</f>
        <v>1709.5990350877196</v>
      </c>
      <c r="H255">
        <f t="shared" si="103"/>
        <v>6.381585595789657</v>
      </c>
    </row>
    <row r="259" spans="1:8" x14ac:dyDescent="0.25">
      <c r="A259" t="s">
        <v>64</v>
      </c>
    </row>
    <row r="260" spans="1:8" x14ac:dyDescent="0.25">
      <c r="A260" s="8" t="s">
        <v>6</v>
      </c>
      <c r="B260" s="8" t="s">
        <v>65</v>
      </c>
      <c r="C260" s="22" t="s">
        <v>50</v>
      </c>
      <c r="D260" s="22" t="s">
        <v>9</v>
      </c>
    </row>
    <row r="261" spans="1:8" x14ac:dyDescent="0.25">
      <c r="A261" s="6">
        <v>45790</v>
      </c>
      <c r="B261">
        <v>62.5</v>
      </c>
      <c r="C261">
        <f>+VLOOKUP(A261,'Undivideable Expenses'!$U$4:$W$66,3,0)</f>
        <v>13642.875</v>
      </c>
      <c r="D261">
        <f t="shared" ref="D261" si="104">+B261/C261*100</f>
        <v>0.45811458361965496</v>
      </c>
      <c r="G261" s="12">
        <f>+VLOOKUP(A261,'Undivideable Expenses'!$U$4:$V$66,2,0)</f>
        <v>1135.0084889643465</v>
      </c>
      <c r="H261">
        <f t="shared" ref="H261" si="105">+G261/100*D261</f>
        <v>5.1996394132667536</v>
      </c>
    </row>
    <row r="262" spans="1:8" x14ac:dyDescent="0.25">
      <c r="A262" s="6">
        <v>45791</v>
      </c>
      <c r="B262">
        <v>1088.75</v>
      </c>
      <c r="C262">
        <f>+VLOOKUP(A262,'Undivideable Expenses'!$U$4:$W$66,3,0)</f>
        <v>15322</v>
      </c>
      <c r="D262">
        <f t="shared" ref="D262:D271" si="106">+B262/C262*100</f>
        <v>7.1057955880433354</v>
      </c>
      <c r="G262" s="12">
        <f>+VLOOKUP(A262,'Undivideable Expenses'!$U$4:$V$66,2,0)</f>
        <v>1104.7538200339559</v>
      </c>
      <c r="H262">
        <f t="shared" ref="H262:H271" si="107">+G262/100*D262</f>
        <v>78.501548202713053</v>
      </c>
    </row>
    <row r="263" spans="1:8" x14ac:dyDescent="0.25">
      <c r="A263" s="6">
        <v>45792</v>
      </c>
      <c r="B263">
        <v>2026.25</v>
      </c>
      <c r="C263">
        <f>+VLOOKUP(A263,'Undivideable Expenses'!$U$4:$W$66,3,0)</f>
        <v>15938</v>
      </c>
      <c r="D263">
        <f t="shared" si="106"/>
        <v>12.71332664073284</v>
      </c>
      <c r="G263" s="12">
        <f>+VLOOKUP(A263,'Undivideable Expenses'!$U$4:$V$66,2,0)</f>
        <v>1036.9100169779288</v>
      </c>
      <c r="H263">
        <f t="shared" si="107"/>
        <v>131.82575742888241</v>
      </c>
    </row>
    <row r="264" spans="1:8" x14ac:dyDescent="0.25">
      <c r="A264" s="6">
        <v>45793</v>
      </c>
      <c r="B264">
        <v>2097.5</v>
      </c>
      <c r="C264">
        <f>+VLOOKUP(A264,'Undivideable Expenses'!$U$4:$W$66,3,0)</f>
        <v>12700</v>
      </c>
      <c r="D264">
        <f t="shared" si="106"/>
        <v>16.515748031496063</v>
      </c>
      <c r="G264" s="12">
        <f>+VLOOKUP(A264,'Undivideable Expenses'!$U$4:$V$66,2,0)</f>
        <v>852.63157894736844</v>
      </c>
      <c r="H264">
        <f t="shared" si="107"/>
        <v>140.8184832159138</v>
      </c>
    </row>
    <row r="265" spans="1:8" x14ac:dyDescent="0.25">
      <c r="A265" s="6">
        <v>45794</v>
      </c>
      <c r="B265">
        <v>3280</v>
      </c>
      <c r="C265">
        <f>+VLOOKUP(A265,'Undivideable Expenses'!$U$4:$W$66,3,0)</f>
        <v>15607</v>
      </c>
      <c r="D265">
        <f t="shared" si="106"/>
        <v>21.016210674697248</v>
      </c>
      <c r="G265" s="12">
        <f>+VLOOKUP(A265,'Undivideable Expenses'!$U$4:$V$66,2,0)</f>
        <v>1690.2436685908319</v>
      </c>
      <c r="H265">
        <f t="shared" si="107"/>
        <v>355.2251703067808</v>
      </c>
    </row>
    <row r="266" spans="1:8" x14ac:dyDescent="0.25">
      <c r="A266" s="6">
        <v>45795</v>
      </c>
      <c r="B266">
        <v>2723.3333333333335</v>
      </c>
      <c r="C266">
        <f>+VLOOKUP(A266,'Undivideable Expenses'!$U$4:$W$66,3,0)</f>
        <v>13100</v>
      </c>
      <c r="D266">
        <f t="shared" si="106"/>
        <v>20.788804071246819</v>
      </c>
      <c r="G266" s="12">
        <f>+VLOOKUP(A266,'Undivideable Expenses'!$U$4:$V$66,2,0)</f>
        <v>2736.7653989813243</v>
      </c>
      <c r="H266">
        <f t="shared" si="107"/>
        <v>568.94079668390373</v>
      </c>
    </row>
    <row r="267" spans="1:8" x14ac:dyDescent="0.25">
      <c r="A267" s="6">
        <v>45796</v>
      </c>
      <c r="B267">
        <v>2153.75</v>
      </c>
      <c r="C267">
        <f>+VLOOKUP(A267,'Undivideable Expenses'!$U$4:$W$66,3,0)</f>
        <v>11775.125</v>
      </c>
      <c r="D267">
        <f t="shared" si="106"/>
        <v>18.290676319784289</v>
      </c>
      <c r="G267" s="12">
        <f>+VLOOKUP(A267,'Undivideable Expenses'!$U$4:$V$66,2,0)</f>
        <v>1380.3305643463495</v>
      </c>
      <c r="H267">
        <f t="shared" si="107"/>
        <v>252.4717956676426</v>
      </c>
    </row>
    <row r="268" spans="1:8" x14ac:dyDescent="0.25">
      <c r="A268" s="6">
        <v>45797</v>
      </c>
      <c r="B268">
        <v>1048.75</v>
      </c>
      <c r="C268">
        <f>+VLOOKUP(A268,'Undivideable Expenses'!$U$4:$W$66,3,0)</f>
        <v>14170</v>
      </c>
      <c r="D268">
        <f t="shared" si="106"/>
        <v>7.401199717713479</v>
      </c>
      <c r="G268" s="12">
        <f>+VLOOKUP(A268,'Undivideable Expenses'!$U$4:$V$66,2,0)</f>
        <v>1395.3050118845501</v>
      </c>
      <c r="H268">
        <f t="shared" si="107"/>
        <v>103.26931060084135</v>
      </c>
    </row>
    <row r="269" spans="1:8" x14ac:dyDescent="0.25">
      <c r="A269" s="6">
        <v>45798</v>
      </c>
      <c r="B269">
        <v>660</v>
      </c>
      <c r="C269">
        <f>+VLOOKUP(A269,'Undivideable Expenses'!$U$4:$W$66,3,0)</f>
        <v>17514</v>
      </c>
      <c r="D269">
        <f t="shared" si="106"/>
        <v>3.7684138403562861</v>
      </c>
      <c r="G269" s="12">
        <f>+VLOOKUP(A269,'Undivideable Expenses'!$U$4:$V$66,2,0)</f>
        <v>1463.0125446519523</v>
      </c>
      <c r="H269">
        <f t="shared" si="107"/>
        <v>55.13236721881286</v>
      </c>
    </row>
    <row r="270" spans="1:8" x14ac:dyDescent="0.25">
      <c r="A270" s="6">
        <v>45799</v>
      </c>
      <c r="B270">
        <v>180</v>
      </c>
      <c r="C270">
        <f>+VLOOKUP(A270,'Undivideable Expenses'!$U$4:$W$66,3,0)</f>
        <v>15973</v>
      </c>
      <c r="D270">
        <f t="shared" si="106"/>
        <v>1.1269016465285169</v>
      </c>
      <c r="G270" s="12">
        <f>+VLOOKUP(A270,'Undivideable Expenses'!$U$4:$V$66,2,0)</f>
        <v>1755.778064516129</v>
      </c>
      <c r="H270">
        <f t="shared" si="107"/>
        <v>19.785891918418784</v>
      </c>
    </row>
    <row r="271" spans="1:8" x14ac:dyDescent="0.25">
      <c r="A271" s="6">
        <v>45810</v>
      </c>
      <c r="B271">
        <v>245</v>
      </c>
      <c r="C271">
        <f>+VLOOKUP(A271,'Undivideable Expenses'!$U$4:$W$66,3,0)</f>
        <v>15005</v>
      </c>
      <c r="D271">
        <f t="shared" si="106"/>
        <v>1.6327890703098966</v>
      </c>
      <c r="G271" s="12">
        <f>+VLOOKUP(A271,'Undivideable Expenses'!$U$4:$V$66,2,0)</f>
        <v>1559.0913157894738</v>
      </c>
      <c r="H271">
        <f t="shared" si="107"/>
        <v>25.456672600361284</v>
      </c>
    </row>
    <row r="272" spans="1:8" x14ac:dyDescent="0.25">
      <c r="A272" s="6"/>
      <c r="G272" s="12"/>
    </row>
    <row r="274" spans="1:8" x14ac:dyDescent="0.25">
      <c r="A274" s="11" t="s">
        <v>66</v>
      </c>
    </row>
    <row r="275" spans="1:8" x14ac:dyDescent="0.25">
      <c r="A275" s="8" t="s">
        <v>6</v>
      </c>
      <c r="B275" s="8" t="s">
        <v>66</v>
      </c>
      <c r="C275" s="22" t="s">
        <v>50</v>
      </c>
      <c r="D275" s="22" t="s">
        <v>9</v>
      </c>
    </row>
    <row r="276" spans="1:8" x14ac:dyDescent="0.25">
      <c r="A276" s="6">
        <v>45787</v>
      </c>
      <c r="B276">
        <v>471.25</v>
      </c>
      <c r="C276">
        <f>+VLOOKUP(A276,'Undivideable Expenses'!$U$4:$W$66,3,0)</f>
        <v>11656.875</v>
      </c>
      <c r="D276">
        <f t="shared" ref="D276" si="108">+B276/C276*100</f>
        <v>4.0426786767465552</v>
      </c>
      <c r="G276" s="12">
        <f>+VLOOKUP(A276,'Undivideable Expenses'!$U$4:$V$66,2,0)</f>
        <v>1422.8775198641765</v>
      </c>
      <c r="H276">
        <f t="shared" ref="H276" si="109">+G276/100*D276</f>
        <v>57.522366091769292</v>
      </c>
    </row>
    <row r="277" spans="1:8" x14ac:dyDescent="0.25">
      <c r="A277" s="6">
        <v>45789</v>
      </c>
      <c r="B277">
        <v>2292.5</v>
      </c>
      <c r="C277">
        <f>+VLOOKUP(A277,'Undivideable Expenses'!$U$4:$W$66,3,0)</f>
        <v>11583.75</v>
      </c>
      <c r="D277">
        <f t="shared" ref="D277:D301" si="110">+B277/C277*100</f>
        <v>19.790655012409626</v>
      </c>
      <c r="G277" s="12">
        <f>+VLOOKUP(A277,'Undivideable Expenses'!$U$4:$V$66,2,0)</f>
        <v>848.96434634974526</v>
      </c>
      <c r="H277">
        <f t="shared" ref="H277:H301" si="111">+G277/100*D277</f>
        <v>168.01560496443648</v>
      </c>
    </row>
    <row r="278" spans="1:8" x14ac:dyDescent="0.25">
      <c r="A278" s="6">
        <v>45790</v>
      </c>
      <c r="B278">
        <v>3061.25</v>
      </c>
      <c r="C278">
        <f>+VLOOKUP(A278,'Undivideable Expenses'!$U$4:$W$66,3,0)</f>
        <v>13642.875</v>
      </c>
      <c r="D278">
        <f t="shared" si="110"/>
        <v>22.438452305690699</v>
      </c>
      <c r="G278" s="12">
        <f>+VLOOKUP(A278,'Undivideable Expenses'!$U$4:$V$66,2,0)</f>
        <v>1135.0084889643465</v>
      </c>
      <c r="H278">
        <f t="shared" si="111"/>
        <v>254.67833846180559</v>
      </c>
    </row>
    <row r="279" spans="1:8" x14ac:dyDescent="0.25">
      <c r="A279" s="6">
        <v>45791</v>
      </c>
      <c r="B279">
        <v>6541.25</v>
      </c>
      <c r="C279">
        <f>+VLOOKUP(A279,'Undivideable Expenses'!$U$4:$W$66,3,0)</f>
        <v>15322</v>
      </c>
      <c r="D279">
        <f t="shared" si="110"/>
        <v>42.691880955488841</v>
      </c>
      <c r="G279" s="12">
        <f>+VLOOKUP(A279,'Undivideable Expenses'!$U$4:$V$66,2,0)</f>
        <v>1104.7538200339559</v>
      </c>
      <c r="H279">
        <f t="shared" si="111"/>
        <v>471.64018570011189</v>
      </c>
    </row>
    <row r="280" spans="1:8" x14ac:dyDescent="0.25">
      <c r="A280" s="6">
        <v>45792</v>
      </c>
      <c r="B280">
        <v>5473.75</v>
      </c>
      <c r="C280">
        <f>+VLOOKUP(A280,'Undivideable Expenses'!$U$4:$W$66,3,0)</f>
        <v>15938</v>
      </c>
      <c r="D280">
        <f t="shared" si="110"/>
        <v>34.34402057974652</v>
      </c>
      <c r="G280" s="12">
        <f>+VLOOKUP(A280,'Undivideable Expenses'!$U$4:$V$66,2,0)</f>
        <v>1036.9100169779288</v>
      </c>
      <c r="H280">
        <f t="shared" si="111"/>
        <v>356.11658962435297</v>
      </c>
    </row>
    <row r="281" spans="1:8" x14ac:dyDescent="0.25">
      <c r="A281" s="6">
        <v>45793</v>
      </c>
      <c r="B281">
        <v>247.5</v>
      </c>
      <c r="C281">
        <f>+VLOOKUP(A281,'Undivideable Expenses'!$U$4:$W$66,3,0)</f>
        <v>12700</v>
      </c>
      <c r="D281">
        <f t="shared" si="110"/>
        <v>1.9488188976377954</v>
      </c>
      <c r="G281" s="12">
        <f>+VLOOKUP(A281,'Undivideable Expenses'!$U$4:$V$66,2,0)</f>
        <v>852.63157894736844</v>
      </c>
      <c r="H281">
        <f t="shared" si="111"/>
        <v>16.616245337753835</v>
      </c>
    </row>
    <row r="282" spans="1:8" x14ac:dyDescent="0.25">
      <c r="A282" s="6">
        <v>45798</v>
      </c>
      <c r="B282">
        <v>1157.5</v>
      </c>
      <c r="C282">
        <f>+VLOOKUP(A282,'Undivideable Expenses'!$U$4:$W$66,3,0)</f>
        <v>17514</v>
      </c>
      <c r="D282">
        <f t="shared" si="110"/>
        <v>6.6089985154733357</v>
      </c>
      <c r="G282" s="12">
        <f>+VLOOKUP(A282,'Undivideable Expenses'!$U$4:$V$66,2,0)</f>
        <v>1463.0125446519523</v>
      </c>
      <c r="H282">
        <f t="shared" si="111"/>
        <v>96.690477357236205</v>
      </c>
    </row>
    <row r="283" spans="1:8" x14ac:dyDescent="0.25">
      <c r="A283" s="6">
        <v>45799</v>
      </c>
      <c r="B283">
        <v>1556.25</v>
      </c>
      <c r="C283">
        <f>+VLOOKUP(A283,'Undivideable Expenses'!$U$4:$W$66,3,0)</f>
        <v>15973</v>
      </c>
      <c r="D283">
        <f t="shared" si="110"/>
        <v>9.7430038189444694</v>
      </c>
      <c r="G283" s="12">
        <f>+VLOOKUP(A283,'Undivideable Expenses'!$U$4:$V$66,2,0)</f>
        <v>1755.778064516129</v>
      </c>
      <c r="H283">
        <f t="shared" si="111"/>
        <v>171.06552387799576</v>
      </c>
    </row>
    <row r="284" spans="1:8" x14ac:dyDescent="0.25">
      <c r="A284" s="6">
        <v>45800</v>
      </c>
      <c r="B284">
        <v>62.5</v>
      </c>
      <c r="C284">
        <f>+VLOOKUP(A284,'Undivideable Expenses'!$U$4:$W$66,3,0)</f>
        <v>17404.5</v>
      </c>
      <c r="D284">
        <f t="shared" si="110"/>
        <v>0.35910253095463818</v>
      </c>
      <c r="G284" s="12">
        <f>+VLOOKUP(A284,'Undivideable Expenses'!$U$4:$V$66,2,0)</f>
        <v>1757.0343932088285</v>
      </c>
      <c r="H284">
        <f t="shared" si="111"/>
        <v>6.309554975756372</v>
      </c>
    </row>
    <row r="285" spans="1:8" x14ac:dyDescent="0.25">
      <c r="A285" s="6">
        <v>45801</v>
      </c>
      <c r="B285">
        <v>977.5</v>
      </c>
      <c r="C285">
        <f>+VLOOKUP(A285,'Undivideable Expenses'!$U$4:$W$66,3,0)</f>
        <v>13703.75</v>
      </c>
      <c r="D285">
        <f t="shared" si="110"/>
        <v>7.1330840098513173</v>
      </c>
      <c r="G285" s="12">
        <f>+VLOOKUP(A285,'Undivideable Expenses'!$U$4:$V$66,2,0)</f>
        <v>1368.6498254668929</v>
      </c>
      <c r="H285">
        <f t="shared" si="111"/>
        <v>97.626941851236907</v>
      </c>
    </row>
    <row r="286" spans="1:8" x14ac:dyDescent="0.25">
      <c r="A286" s="6">
        <v>45812</v>
      </c>
      <c r="B286">
        <v>120</v>
      </c>
      <c r="C286">
        <f>+VLOOKUP(A286,'Undivideable Expenses'!$U$4:$W$66,3,0)</f>
        <v>14754.875</v>
      </c>
      <c r="D286">
        <f t="shared" si="110"/>
        <v>0.81329052262387858</v>
      </c>
      <c r="G286" s="12">
        <f>+VLOOKUP(A286,'Undivideable Expenses'!$U$4:$V$66,2,0)</f>
        <v>1705.9112280701754</v>
      </c>
      <c r="H286">
        <f t="shared" si="111"/>
        <v>13.874014342271355</v>
      </c>
    </row>
    <row r="287" spans="1:8" x14ac:dyDescent="0.25">
      <c r="A287" s="6">
        <v>45813</v>
      </c>
      <c r="B287">
        <v>187.5</v>
      </c>
      <c r="C287">
        <f>+VLOOKUP(A287,'Undivideable Expenses'!$U$4:$W$66,3,0)</f>
        <v>13796</v>
      </c>
      <c r="D287">
        <f t="shared" si="110"/>
        <v>1.3590895911858509</v>
      </c>
      <c r="G287" s="12">
        <f>+VLOOKUP(A287,'Undivideable Expenses'!$U$4:$V$66,2,0)</f>
        <v>1724.8858771929827</v>
      </c>
      <c r="H287">
        <f t="shared" si="111"/>
        <v>23.442744416764587</v>
      </c>
    </row>
    <row r="288" spans="1:8" x14ac:dyDescent="0.25">
      <c r="A288" s="6">
        <v>45814</v>
      </c>
      <c r="B288">
        <v>500</v>
      </c>
      <c r="C288">
        <f>+VLOOKUP(A288,'Undivideable Expenses'!$U$4:$W$66,3,0)</f>
        <v>14275</v>
      </c>
      <c r="D288">
        <f t="shared" si="110"/>
        <v>3.5026269702276709</v>
      </c>
      <c r="G288" s="12">
        <f>+VLOOKUP(A288,'Undivideable Expenses'!$U$4:$V$66,2,0)</f>
        <v>1570.6645614035087</v>
      </c>
      <c r="H288">
        <f t="shared" si="111"/>
        <v>55.014520539527453</v>
      </c>
    </row>
    <row r="289" spans="1:8" x14ac:dyDescent="0.25">
      <c r="A289" s="6">
        <v>45815</v>
      </c>
      <c r="B289">
        <v>60</v>
      </c>
      <c r="C289">
        <f>+VLOOKUP(A289,'Undivideable Expenses'!$U$4:$W$66,3,0)</f>
        <v>8940</v>
      </c>
      <c r="D289">
        <f t="shared" si="110"/>
        <v>0.67114093959731547</v>
      </c>
      <c r="G289" s="12">
        <f>+VLOOKUP(A289,'Undivideable Expenses'!$U$4:$V$66,2,0)</f>
        <v>1295.1542105263159</v>
      </c>
      <c r="H289">
        <f t="shared" si="111"/>
        <v>8.6923101377605096</v>
      </c>
    </row>
    <row r="290" spans="1:8" x14ac:dyDescent="0.25">
      <c r="A290" s="6">
        <v>45817</v>
      </c>
      <c r="B290">
        <v>115</v>
      </c>
      <c r="C290">
        <f>+VLOOKUP(A290,'Undivideable Expenses'!$U$4:$W$66,3,0)</f>
        <v>10164.625</v>
      </c>
      <c r="D290">
        <f t="shared" si="110"/>
        <v>1.1313747432886112</v>
      </c>
      <c r="G290" s="12">
        <f>+VLOOKUP(A290,'Undivideable Expenses'!$U$4:$V$66,2,0)</f>
        <v>564.77192982456143</v>
      </c>
      <c r="H290">
        <f t="shared" si="111"/>
        <v>6.3896869712187669</v>
      </c>
    </row>
    <row r="291" spans="1:8" x14ac:dyDescent="0.25">
      <c r="A291" s="6">
        <v>45818</v>
      </c>
      <c r="B291">
        <v>1400</v>
      </c>
      <c r="C291">
        <f>+VLOOKUP(A291,'Undivideable Expenses'!$U$4:$W$66,3,0)</f>
        <v>15683</v>
      </c>
      <c r="D291">
        <f t="shared" si="110"/>
        <v>8.9268634827520241</v>
      </c>
      <c r="G291" s="12">
        <f>+VLOOKUP(A291,'Undivideable Expenses'!$U$4:$V$66,2,0)</f>
        <v>1423.4597368421053</v>
      </c>
      <c r="H291">
        <f t="shared" si="111"/>
        <v>127.07030743983596</v>
      </c>
    </row>
    <row r="292" spans="1:8" x14ac:dyDescent="0.25">
      <c r="A292" s="6">
        <v>45819</v>
      </c>
      <c r="B292">
        <v>1477.5</v>
      </c>
      <c r="C292">
        <f>+VLOOKUP(A292,'Undivideable Expenses'!$U$4:$W$66,3,0)</f>
        <v>15689</v>
      </c>
      <c r="D292">
        <f t="shared" si="110"/>
        <v>9.4174262221938942</v>
      </c>
      <c r="G292" s="12">
        <f>+VLOOKUP(A292,'Undivideable Expenses'!$U$4:$V$66,2,0)</f>
        <v>1713.848245614035</v>
      </c>
      <c r="H292">
        <f t="shared" si="111"/>
        <v>161.40039409106618</v>
      </c>
    </row>
    <row r="293" spans="1:8" x14ac:dyDescent="0.25">
      <c r="A293" s="6">
        <v>45820</v>
      </c>
      <c r="B293">
        <v>685</v>
      </c>
      <c r="C293">
        <f>+VLOOKUP(A293,'Undivideable Expenses'!$U$4:$W$66,3,0)</f>
        <v>16051</v>
      </c>
      <c r="D293">
        <f t="shared" si="110"/>
        <v>4.2676468755840764</v>
      </c>
      <c r="G293" s="12">
        <f>+VLOOKUP(A293,'Undivideable Expenses'!$U$4:$V$66,2,0)</f>
        <v>1701.6620175438597</v>
      </c>
      <c r="H293">
        <f t="shared" si="111"/>
        <v>72.620925924711486</v>
      </c>
    </row>
    <row r="294" spans="1:8" x14ac:dyDescent="0.25">
      <c r="A294" s="6">
        <v>45822</v>
      </c>
      <c r="B294">
        <v>308.75</v>
      </c>
      <c r="C294">
        <f>+VLOOKUP(A294,'Undivideable Expenses'!$U$4:$W$66,3,0)</f>
        <v>15220.125</v>
      </c>
      <c r="D294">
        <f t="shared" si="110"/>
        <v>2.0285641543679831</v>
      </c>
      <c r="G294" s="12">
        <f>+VLOOKUP(A294,'Undivideable Expenses'!$U$4:$V$66,2,0)</f>
        <v>1708.1826315789476</v>
      </c>
      <c r="H294">
        <f t="shared" si="111"/>
        <v>34.651580555350243</v>
      </c>
    </row>
    <row r="295" spans="1:8" x14ac:dyDescent="0.25">
      <c r="A295" s="6">
        <v>45825</v>
      </c>
      <c r="B295">
        <v>551.25</v>
      </c>
      <c r="C295">
        <f>+VLOOKUP(A295,'Undivideable Expenses'!$U$4:$W$66,3,0)</f>
        <v>17215</v>
      </c>
      <c r="D295">
        <f t="shared" si="110"/>
        <v>3.202149288411269</v>
      </c>
      <c r="G295" s="12">
        <f>+VLOOKUP(A295,'Undivideable Expenses'!$U$4:$V$66,2,0)</f>
        <v>1704.2012280701756</v>
      </c>
      <c r="H295">
        <f t="shared" si="111"/>
        <v>54.571067497745233</v>
      </c>
    </row>
    <row r="296" spans="1:8" x14ac:dyDescent="0.25">
      <c r="A296" s="6">
        <v>45826</v>
      </c>
      <c r="B296">
        <v>172.5</v>
      </c>
      <c r="C296">
        <f>+VLOOKUP(A296,'Undivideable Expenses'!$U$4:$W$66,3,0)</f>
        <v>17368</v>
      </c>
      <c r="D296">
        <f t="shared" si="110"/>
        <v>0.99320589590050667</v>
      </c>
      <c r="G296" s="12">
        <f>+VLOOKUP(A296,'Undivideable Expenses'!$U$4:$V$66,2,0)</f>
        <v>1640.1952631578947</v>
      </c>
      <c r="H296">
        <f t="shared" si="111"/>
        <v>16.290516057965043</v>
      </c>
    </row>
    <row r="297" spans="1:8" x14ac:dyDescent="0.25">
      <c r="A297" s="6">
        <v>45827</v>
      </c>
      <c r="B297">
        <v>1102.5</v>
      </c>
      <c r="C297">
        <f>+VLOOKUP(A297,'Undivideable Expenses'!$U$4:$W$66,3,0)</f>
        <v>17939.75</v>
      </c>
      <c r="D297">
        <f t="shared" si="110"/>
        <v>6.1455705904485844</v>
      </c>
      <c r="G297" s="12">
        <f>+VLOOKUP(A297,'Undivideable Expenses'!$U$4:$V$66,2,0)</f>
        <v>1699.6842105263158</v>
      </c>
      <c r="H297">
        <f t="shared" si="111"/>
        <v>104.45529297260347</v>
      </c>
    </row>
    <row r="298" spans="1:8" x14ac:dyDescent="0.25">
      <c r="A298" s="6">
        <v>45828</v>
      </c>
      <c r="B298">
        <v>367.5</v>
      </c>
      <c r="C298">
        <f>+VLOOKUP(A298,'Undivideable Expenses'!$U$4:$W$66,3,0)</f>
        <v>18628</v>
      </c>
      <c r="D298">
        <f t="shared" si="110"/>
        <v>1.9728365900794502</v>
      </c>
      <c r="G298" s="12">
        <f>+VLOOKUP(A298,'Undivideable Expenses'!$U$4:$V$66,2,0)</f>
        <v>1703.9334210526317</v>
      </c>
      <c r="H298">
        <f t="shared" si="111"/>
        <v>33.615822001118858</v>
      </c>
    </row>
    <row r="299" spans="1:8" x14ac:dyDescent="0.25">
      <c r="A299" s="6">
        <v>45829</v>
      </c>
      <c r="B299">
        <v>122.5</v>
      </c>
      <c r="C299">
        <v>20000</v>
      </c>
      <c r="D299">
        <f t="shared" si="110"/>
        <v>0.61250000000000004</v>
      </c>
      <c r="G299" s="12">
        <f>+VLOOKUP(A299,'Undivideable Expenses'!$U$4:$V$66,2,0)</f>
        <v>1330.5642982456143</v>
      </c>
      <c r="H299">
        <f t="shared" si="111"/>
        <v>8.1497063267543872</v>
      </c>
    </row>
    <row r="300" spans="1:8" x14ac:dyDescent="0.25">
      <c r="A300" s="6">
        <v>45831</v>
      </c>
      <c r="B300">
        <v>138.75</v>
      </c>
      <c r="C300">
        <v>20000</v>
      </c>
      <c r="D300">
        <f t="shared" si="110"/>
        <v>0.69374999999999998</v>
      </c>
      <c r="G300" s="12">
        <f>+VLOOKUP(A300,'Undivideable Expenses'!$U$4:$V$66,2,0)</f>
        <v>1720.4204385964913</v>
      </c>
      <c r="H300">
        <f t="shared" si="111"/>
        <v>11.935416792763158</v>
      </c>
    </row>
    <row r="301" spans="1:8" x14ac:dyDescent="0.25">
      <c r="A301" s="6">
        <v>45832</v>
      </c>
      <c r="B301">
        <v>138.75</v>
      </c>
      <c r="C301">
        <v>20000</v>
      </c>
      <c r="D301">
        <f t="shared" si="110"/>
        <v>0.69374999999999998</v>
      </c>
      <c r="G301" s="12">
        <f>+VLOOKUP(A301,'Undivideable Expenses'!$U$4:$V$66,2,0)</f>
        <v>1720.662456140351</v>
      </c>
      <c r="H301">
        <f t="shared" si="111"/>
        <v>11.937095789473684</v>
      </c>
    </row>
    <row r="303" spans="1:8" x14ac:dyDescent="0.25">
      <c r="A303" t="s">
        <v>67</v>
      </c>
    </row>
    <row r="304" spans="1:8" x14ac:dyDescent="0.25">
      <c r="A304" s="8" t="s">
        <v>6</v>
      </c>
      <c r="B304" s="8" t="s">
        <v>68</v>
      </c>
      <c r="C304" s="22" t="s">
        <v>50</v>
      </c>
      <c r="D304" s="22" t="s">
        <v>9</v>
      </c>
    </row>
    <row r="305" spans="1:8" x14ac:dyDescent="0.25">
      <c r="A305" s="6">
        <v>45786</v>
      </c>
      <c r="B305">
        <v>4122.5</v>
      </c>
      <c r="C305">
        <f>+VLOOKUP(A305,'Undivideable Expenses'!$U$4:$W$66,3,0)</f>
        <v>16542.875</v>
      </c>
      <c r="D305">
        <f t="shared" ref="D305" si="112">+B305/C305*100</f>
        <v>24.920093998171421</v>
      </c>
      <c r="G305" s="12">
        <f>+VLOOKUP(A305,'Undivideable Expenses'!$U$4:$V$66,2,0)</f>
        <v>1777.7814601018674</v>
      </c>
      <c r="H305">
        <f t="shared" ref="H305" si="113">+G305/100*D305</f>
        <v>443.02481093944976</v>
      </c>
    </row>
    <row r="306" spans="1:8" x14ac:dyDescent="0.25">
      <c r="A306" s="6">
        <v>45787</v>
      </c>
      <c r="B306">
        <v>4623.75</v>
      </c>
      <c r="C306">
        <f>+VLOOKUP(A306,'Undivideable Expenses'!$U$4:$W$66,3,0)</f>
        <v>11656.875</v>
      </c>
      <c r="D306">
        <f t="shared" ref="D306:D310" si="114">+B306/C306*100</f>
        <v>39.665433488820973</v>
      </c>
      <c r="G306" s="12">
        <f>+VLOOKUP(A306,'Undivideable Expenses'!$U$4:$V$66,2,0)</f>
        <v>1422.8775198641765</v>
      </c>
      <c r="H306">
        <f t="shared" ref="H306:H310" si="115">+G306/100*D306</f>
        <v>564.39053626911038</v>
      </c>
    </row>
    <row r="307" spans="1:8" x14ac:dyDescent="0.25">
      <c r="A307" s="6">
        <v>45789</v>
      </c>
      <c r="B307">
        <v>2467.5</v>
      </c>
      <c r="C307">
        <f>+VLOOKUP(A307,'Undivideable Expenses'!$U$4:$W$66,3,0)</f>
        <v>11583.75</v>
      </c>
      <c r="D307">
        <f t="shared" si="114"/>
        <v>21.301392036257688</v>
      </c>
      <c r="G307" s="12">
        <f>+VLOOKUP(A307,'Undivideable Expenses'!$U$4:$V$66,2,0)</f>
        <v>848.96434634974526</v>
      </c>
      <c r="H307">
        <f t="shared" si="115"/>
        <v>180.84122366401178</v>
      </c>
    </row>
    <row r="308" spans="1:8" x14ac:dyDescent="0.25">
      <c r="A308" s="6">
        <v>45790</v>
      </c>
      <c r="B308">
        <v>3101.25</v>
      </c>
      <c r="C308">
        <f>+VLOOKUP(A308,'Undivideable Expenses'!$U$4:$W$66,3,0)</f>
        <v>13642.875</v>
      </c>
      <c r="D308">
        <f t="shared" si="114"/>
        <v>22.731645639207279</v>
      </c>
      <c r="G308" s="12">
        <f>+VLOOKUP(A308,'Undivideable Expenses'!$U$4:$V$66,2,0)</f>
        <v>1135.0084889643465</v>
      </c>
      <c r="H308">
        <f t="shared" si="115"/>
        <v>258.00610768629633</v>
      </c>
    </row>
    <row r="309" spans="1:8" x14ac:dyDescent="0.25">
      <c r="A309" s="6">
        <v>45791</v>
      </c>
      <c r="B309">
        <v>553.75</v>
      </c>
      <c r="C309">
        <f>+VLOOKUP(A309,'Undivideable Expenses'!$U$4:$W$66,3,0)</f>
        <v>15322</v>
      </c>
      <c r="D309">
        <f t="shared" si="114"/>
        <v>3.6140843231954052</v>
      </c>
      <c r="G309" s="12">
        <f>+VLOOKUP(A309,'Undivideable Expenses'!$U$4:$V$66,2,0)</f>
        <v>1104.7538200339559</v>
      </c>
      <c r="H309">
        <f t="shared" si="115"/>
        <v>39.926734619749581</v>
      </c>
    </row>
    <row r="310" spans="1:8" x14ac:dyDescent="0.25">
      <c r="A310" s="6">
        <v>45796</v>
      </c>
      <c r="B310">
        <v>250</v>
      </c>
      <c r="C310">
        <f>+VLOOKUP(A310,'Undivideable Expenses'!$U$4:$W$66,3,0)</f>
        <v>11775.125</v>
      </c>
      <c r="D310">
        <f t="shared" si="114"/>
        <v>2.123119712104967</v>
      </c>
      <c r="G310" s="12">
        <f>+VLOOKUP(A310,'Undivideable Expenses'!$U$4:$V$66,2,0)</f>
        <v>1380.3305643463495</v>
      </c>
      <c r="H310">
        <f t="shared" si="115"/>
        <v>29.306070303847083</v>
      </c>
    </row>
    <row r="311" spans="1:8" x14ac:dyDescent="0.25">
      <c r="A311" s="6"/>
      <c r="G311" s="12"/>
    </row>
    <row r="313" spans="1:8" x14ac:dyDescent="0.25">
      <c r="A313" t="s">
        <v>69</v>
      </c>
    </row>
    <row r="314" spans="1:8" x14ac:dyDescent="0.25">
      <c r="A314" s="8" t="s">
        <v>6</v>
      </c>
      <c r="B314" s="8" t="s">
        <v>70</v>
      </c>
      <c r="C314" s="22" t="s">
        <v>50</v>
      </c>
      <c r="D314" s="22" t="s">
        <v>9</v>
      </c>
    </row>
    <row r="315" spans="1:8" x14ac:dyDescent="0.25">
      <c r="A315" s="6">
        <v>45784</v>
      </c>
      <c r="B315" s="7">
        <v>3388.75</v>
      </c>
      <c r="C315">
        <f>+VLOOKUP(A315,'Undivideable Expenses'!$U$4:$W$66,3,0)</f>
        <v>16863.625</v>
      </c>
      <c r="D315">
        <f t="shared" ref="D315" si="116">+B315/C315*100</f>
        <v>20.095027018212278</v>
      </c>
      <c r="G315" s="12">
        <f>+VLOOKUP(A315,'Undivideable Expenses'!$U$4:$V$66,2,0)</f>
        <v>1698.3584149405774</v>
      </c>
      <c r="H315">
        <f t="shared" ref="H315" si="117">+G315/100*D315</f>
        <v>341.28558234839085</v>
      </c>
    </row>
    <row r="316" spans="1:8" x14ac:dyDescent="0.25">
      <c r="A316" s="6">
        <v>45785</v>
      </c>
      <c r="B316" s="7">
        <v>9935</v>
      </c>
      <c r="C316">
        <f>+VLOOKUP(A316,'Undivideable Expenses'!$U$4:$W$66,3,0)</f>
        <v>16241.5</v>
      </c>
      <c r="D316">
        <f t="shared" ref="D316:D317" si="118">+B316/C316*100</f>
        <v>61.170458393621274</v>
      </c>
      <c r="G316" s="12">
        <f>+VLOOKUP(A316,'Undivideable Expenses'!$U$4:$V$66,2,0)</f>
        <v>1684.9805867572156</v>
      </c>
      <c r="H316">
        <f t="shared" ref="H316:H317" si="119">+G316/100*D316</f>
        <v>1030.7103487629183</v>
      </c>
    </row>
    <row r="317" spans="1:8" x14ac:dyDescent="0.25">
      <c r="A317" s="6">
        <v>45786</v>
      </c>
      <c r="B317" s="7">
        <v>4180</v>
      </c>
      <c r="C317">
        <f>+VLOOKUP(A317,'Undivideable Expenses'!$U$4:$W$66,3,0)</f>
        <v>16542.875</v>
      </c>
      <c r="D317">
        <f t="shared" si="118"/>
        <v>25.267675660971868</v>
      </c>
      <c r="G317" s="12">
        <f>+VLOOKUP(A317,'Undivideable Expenses'!$U$4:$V$66,2,0)</f>
        <v>1777.7814601018674</v>
      </c>
      <c r="H317">
        <f t="shared" si="119"/>
        <v>449.20405329942992</v>
      </c>
    </row>
    <row r="320" spans="1:8" x14ac:dyDescent="0.25">
      <c r="A320" t="s">
        <v>71</v>
      </c>
    </row>
    <row r="321" spans="1:8" x14ac:dyDescent="0.25">
      <c r="A321" s="8" t="s">
        <v>6</v>
      </c>
      <c r="B321" s="8" t="s">
        <v>72</v>
      </c>
      <c r="C321" s="22" t="s">
        <v>50</v>
      </c>
      <c r="D321" s="22" t="s">
        <v>9</v>
      </c>
    </row>
    <row r="322" spans="1:8" x14ac:dyDescent="0.25">
      <c r="A322" s="6">
        <v>45778</v>
      </c>
      <c r="B322">
        <v>4463.75</v>
      </c>
      <c r="C322">
        <f>+VLOOKUP(A322,'Undivideable Expenses'!$U$4:$W$66,3,0)</f>
        <v>20405.75</v>
      </c>
      <c r="D322">
        <f t="shared" ref="D322" si="120">+B322/C322*100</f>
        <v>21.874961714222707</v>
      </c>
      <c r="G322" s="12">
        <f>+VLOOKUP(A322,'Undivideable Expenses'!$U$4:$V$66,2,0)</f>
        <v>1784.7421446519522</v>
      </c>
      <c r="H322">
        <f t="shared" ref="H322" si="121">+G322/100*D322</f>
        <v>390.41166084021177</v>
      </c>
    </row>
    <row r="323" spans="1:8" x14ac:dyDescent="0.25">
      <c r="A323" s="6">
        <v>45779</v>
      </c>
      <c r="B323">
        <v>7035</v>
      </c>
      <c r="C323">
        <f>+VLOOKUP(A323,'Undivideable Expenses'!$U$4:$W$66,3,0)</f>
        <v>18853.375</v>
      </c>
      <c r="D323">
        <f t="shared" ref="D323:D347" si="122">+B323/C323*100</f>
        <v>37.314273969514744</v>
      </c>
      <c r="G323" s="12">
        <f>+VLOOKUP(A323,'Undivideable Expenses'!$U$4:$V$66,2,0)</f>
        <v>1511.6399470288625</v>
      </c>
      <c r="H323">
        <f t="shared" ref="H323:H347" si="123">+G323/100*D323</f>
        <v>564.05747126697736</v>
      </c>
    </row>
    <row r="324" spans="1:8" x14ac:dyDescent="0.25">
      <c r="A324" s="6">
        <v>45780</v>
      </c>
      <c r="B324">
        <v>3952.5</v>
      </c>
      <c r="C324">
        <f>+VLOOKUP(A324,'Undivideable Expenses'!$U$4:$W$66,3,0)</f>
        <v>6329.875</v>
      </c>
      <c r="D324">
        <f t="shared" si="122"/>
        <v>62.441991350540093</v>
      </c>
      <c r="G324" s="12">
        <f>+VLOOKUP(A324,'Undivideable Expenses'!$U$4:$V$66,2,0)</f>
        <v>1353.2001005093377</v>
      </c>
      <c r="H324">
        <f t="shared" si="123"/>
        <v>844.96508971554056</v>
      </c>
    </row>
    <row r="325" spans="1:8" x14ac:dyDescent="0.25">
      <c r="A325" s="6">
        <v>45781</v>
      </c>
      <c r="B325">
        <v>3898.3333333333335</v>
      </c>
      <c r="C325">
        <f>+VLOOKUP(A325,'Undivideable Expenses'!$U$4:$W$66,3,0)</f>
        <v>9181.1428571428569</v>
      </c>
      <c r="D325">
        <f t="shared" si="122"/>
        <v>42.460218667662495</v>
      </c>
      <c r="G325" s="12">
        <f>+VLOOKUP(A325,'Undivideable Expenses'!$U$4:$V$66,2,0)</f>
        <v>2745.8994770797963</v>
      </c>
      <c r="H325">
        <f t="shared" si="123"/>
        <v>1165.9149223622824</v>
      </c>
    </row>
    <row r="326" spans="1:8" x14ac:dyDescent="0.25">
      <c r="A326" s="6">
        <v>45782</v>
      </c>
      <c r="B326">
        <v>4343.75</v>
      </c>
      <c r="C326">
        <f>+VLOOKUP(A326,'Undivideable Expenses'!$U$4:$W$66,3,0)</f>
        <v>14211</v>
      </c>
      <c r="D326">
        <f t="shared" si="122"/>
        <v>30.566110759270988</v>
      </c>
      <c r="G326" s="12">
        <f>+VLOOKUP(A326,'Undivideable Expenses'!$U$4:$V$66,2,0)</f>
        <v>1633.6385602716468</v>
      </c>
      <c r="H326">
        <f t="shared" si="123"/>
        <v>499.33977173879151</v>
      </c>
    </row>
    <row r="327" spans="1:8" x14ac:dyDescent="0.25">
      <c r="A327" s="6">
        <v>45783</v>
      </c>
      <c r="B327">
        <v>2906.25</v>
      </c>
      <c r="C327">
        <f>+VLOOKUP(A327,'Undivideable Expenses'!$U$4:$W$66,3,0)</f>
        <v>14709.75</v>
      </c>
      <c r="D327">
        <f t="shared" si="122"/>
        <v>19.757303829092947</v>
      </c>
      <c r="G327" s="12">
        <f>+VLOOKUP(A327,'Undivideable Expenses'!$U$4:$V$66,2,0)</f>
        <v>1584.3009371816638</v>
      </c>
      <c r="H327">
        <f t="shared" si="123"/>
        <v>313.01514972614831</v>
      </c>
    </row>
    <row r="328" spans="1:8" x14ac:dyDescent="0.25">
      <c r="A328" s="6">
        <v>45784</v>
      </c>
      <c r="B328">
        <v>4482.5</v>
      </c>
      <c r="C328">
        <f>+VLOOKUP(A328,'Undivideable Expenses'!$U$4:$W$66,3,0)</f>
        <v>16863.625</v>
      </c>
      <c r="D328">
        <f t="shared" si="122"/>
        <v>26.580880445337229</v>
      </c>
      <c r="G328" s="12">
        <f>+VLOOKUP(A328,'Undivideable Expenses'!$U$4:$V$66,2,0)</f>
        <v>1698.3584149405774</v>
      </c>
      <c r="H328">
        <f t="shared" si="123"/>
        <v>451.43861980867928</v>
      </c>
    </row>
    <row r="329" spans="1:8" x14ac:dyDescent="0.25">
      <c r="A329" s="6">
        <v>45785</v>
      </c>
      <c r="B329">
        <v>2983.75</v>
      </c>
      <c r="C329">
        <f>+VLOOKUP(A329,'Undivideable Expenses'!$U$4:$W$66,3,0)</f>
        <v>16241.5</v>
      </c>
      <c r="D329">
        <f t="shared" si="122"/>
        <v>18.371147985099899</v>
      </c>
      <c r="G329" s="12">
        <f>+VLOOKUP(A329,'Undivideable Expenses'!$U$4:$V$66,2,0)</f>
        <v>1684.9805867572156</v>
      </c>
      <c r="H329">
        <f t="shared" si="123"/>
        <v>309.55027711337272</v>
      </c>
    </row>
    <row r="330" spans="1:8" x14ac:dyDescent="0.25">
      <c r="A330" s="6">
        <v>45786</v>
      </c>
      <c r="B330">
        <v>420</v>
      </c>
      <c r="C330">
        <f>+VLOOKUP(A330,'Undivideable Expenses'!$U$4:$W$66,3,0)</f>
        <v>16542.875</v>
      </c>
      <c r="D330">
        <f t="shared" si="122"/>
        <v>2.5388573630641593</v>
      </c>
      <c r="G330" s="12">
        <f>+VLOOKUP(A330,'Undivideable Expenses'!$U$4:$V$66,2,0)</f>
        <v>1777.7814601018674</v>
      </c>
      <c r="H330">
        <f t="shared" si="123"/>
        <v>45.135335498985782</v>
      </c>
    </row>
    <row r="331" spans="1:8" x14ac:dyDescent="0.25">
      <c r="A331" s="6">
        <v>45787</v>
      </c>
      <c r="B331">
        <v>187.5</v>
      </c>
      <c r="C331">
        <f>+VLOOKUP(A331,'Undivideable Expenses'!$U$4:$W$66,3,0)</f>
        <v>11656.875</v>
      </c>
      <c r="D331">
        <f t="shared" si="122"/>
        <v>1.6084928422068521</v>
      </c>
      <c r="G331" s="12">
        <f>+VLOOKUP(A331,'Undivideable Expenses'!$U$4:$V$66,2,0)</f>
        <v>1422.8775198641765</v>
      </c>
      <c r="H331">
        <f t="shared" si="123"/>
        <v>22.88688306038566</v>
      </c>
    </row>
    <row r="332" spans="1:8" x14ac:dyDescent="0.25">
      <c r="A332" s="6">
        <v>45789</v>
      </c>
      <c r="B332">
        <v>180</v>
      </c>
      <c r="C332">
        <f>+VLOOKUP(A332,'Undivideable Expenses'!$U$4:$W$66,3,0)</f>
        <v>11583.75</v>
      </c>
      <c r="D332">
        <f t="shared" si="122"/>
        <v>1.5539009388151506</v>
      </c>
      <c r="G332" s="12">
        <f>+VLOOKUP(A332,'Undivideable Expenses'!$U$4:$V$66,2,0)</f>
        <v>848.96434634974526</v>
      </c>
      <c r="H332">
        <f t="shared" si="123"/>
        <v>13.192064948134599</v>
      </c>
    </row>
    <row r="333" spans="1:8" x14ac:dyDescent="0.25">
      <c r="A333" s="6">
        <v>45790</v>
      </c>
      <c r="B333">
        <v>250</v>
      </c>
      <c r="C333">
        <f>+VLOOKUP(A333,'Undivideable Expenses'!$U$4:$W$66,3,0)</f>
        <v>13642.875</v>
      </c>
      <c r="D333">
        <f t="shared" si="122"/>
        <v>1.8324583344786198</v>
      </c>
      <c r="G333" s="12">
        <f>+VLOOKUP(A333,'Undivideable Expenses'!$U$4:$V$66,2,0)</f>
        <v>1135.0084889643465</v>
      </c>
      <c r="H333">
        <f t="shared" si="123"/>
        <v>20.798557653067014</v>
      </c>
    </row>
    <row r="334" spans="1:8" x14ac:dyDescent="0.25">
      <c r="A334" s="6">
        <v>45791</v>
      </c>
      <c r="B334">
        <v>437.5</v>
      </c>
      <c r="C334">
        <f>+VLOOKUP(A334,'Undivideable Expenses'!$U$4:$W$66,3,0)</f>
        <v>15322</v>
      </c>
      <c r="D334">
        <f t="shared" si="122"/>
        <v>2.8553713614410654</v>
      </c>
      <c r="G334" s="12">
        <f>+VLOOKUP(A334,'Undivideable Expenses'!$U$4:$V$66,2,0)</f>
        <v>1104.7538200339559</v>
      </c>
      <c r="H334">
        <f t="shared" si="123"/>
        <v>31.544824191675744</v>
      </c>
    </row>
    <row r="335" spans="1:8" x14ac:dyDescent="0.25">
      <c r="A335" s="6">
        <v>45792</v>
      </c>
      <c r="B335">
        <v>687.5</v>
      </c>
      <c r="C335">
        <f>+VLOOKUP(A335,'Undivideable Expenses'!$U$4:$W$66,3,0)</f>
        <v>15938</v>
      </c>
      <c r="D335">
        <f t="shared" si="122"/>
        <v>4.3135901618772747</v>
      </c>
      <c r="G335" s="12">
        <f>+VLOOKUP(A335,'Undivideable Expenses'!$U$4:$V$66,2,0)</f>
        <v>1036.9100169779288</v>
      </c>
      <c r="H335">
        <f t="shared" si="123"/>
        <v>44.728048479879909</v>
      </c>
    </row>
    <row r="336" spans="1:8" x14ac:dyDescent="0.25">
      <c r="A336" s="6">
        <v>45793</v>
      </c>
      <c r="B336">
        <v>500</v>
      </c>
      <c r="C336">
        <f>+VLOOKUP(A336,'Undivideable Expenses'!$U$4:$W$66,3,0)</f>
        <v>12700</v>
      </c>
      <c r="D336">
        <f t="shared" si="122"/>
        <v>3.9370078740157481</v>
      </c>
      <c r="G336" s="12">
        <f>+VLOOKUP(A336,'Undivideable Expenses'!$U$4:$V$66,2,0)</f>
        <v>852.63157894736844</v>
      </c>
      <c r="H336">
        <f t="shared" si="123"/>
        <v>33.5681723995027</v>
      </c>
    </row>
    <row r="337" spans="1:8" x14ac:dyDescent="0.25">
      <c r="A337" s="6">
        <v>45794</v>
      </c>
      <c r="B337">
        <v>250</v>
      </c>
      <c r="C337">
        <f>+VLOOKUP(A337,'Undivideable Expenses'!$U$4:$W$66,3,0)</f>
        <v>15607</v>
      </c>
      <c r="D337">
        <f t="shared" si="122"/>
        <v>1.6018453258153393</v>
      </c>
      <c r="G337" s="12">
        <f>+VLOOKUP(A337,'Undivideable Expenses'!$U$4:$V$66,2,0)</f>
        <v>1690.2436685908319</v>
      </c>
      <c r="H337">
        <f t="shared" si="123"/>
        <v>27.075089200211959</v>
      </c>
    </row>
    <row r="338" spans="1:8" x14ac:dyDescent="0.25">
      <c r="A338" s="6">
        <v>45795</v>
      </c>
      <c r="B338">
        <v>166.66666666666666</v>
      </c>
      <c r="C338">
        <f>+VLOOKUP(A338,'Undivideable Expenses'!$U$4:$W$66,3,0)</f>
        <v>13100</v>
      </c>
      <c r="D338">
        <f t="shared" si="122"/>
        <v>1.2722646310432568</v>
      </c>
      <c r="G338" s="12">
        <f>+VLOOKUP(A338,'Undivideable Expenses'!$U$4:$V$66,2,0)</f>
        <v>2736.7653989813243</v>
      </c>
      <c r="H338">
        <f t="shared" si="123"/>
        <v>34.81889820586926</v>
      </c>
    </row>
    <row r="339" spans="1:8" x14ac:dyDescent="0.25">
      <c r="A339" s="6">
        <v>45797</v>
      </c>
      <c r="B339">
        <v>125</v>
      </c>
      <c r="C339">
        <f>+VLOOKUP(A339,'Undivideable Expenses'!$U$4:$W$66,3,0)</f>
        <v>14170</v>
      </c>
      <c r="D339">
        <f t="shared" si="122"/>
        <v>0.88214537755822164</v>
      </c>
      <c r="G339" s="12">
        <f>+VLOOKUP(A339,'Undivideable Expenses'!$U$4:$V$66,2,0)</f>
        <v>1395.3050118845501</v>
      </c>
      <c r="H339">
        <f t="shared" si="123"/>
        <v>12.308618665177754</v>
      </c>
    </row>
    <row r="340" spans="1:8" x14ac:dyDescent="0.25">
      <c r="A340" s="6">
        <v>45798</v>
      </c>
      <c r="B340">
        <v>687.5</v>
      </c>
      <c r="C340">
        <f>+VLOOKUP(A340,'Undivideable Expenses'!$U$4:$W$66,3,0)</f>
        <v>17514</v>
      </c>
      <c r="D340">
        <f t="shared" si="122"/>
        <v>3.9254310837044648</v>
      </c>
      <c r="G340" s="12">
        <f>+VLOOKUP(A340,'Undivideable Expenses'!$U$4:$V$66,2,0)</f>
        <v>1463.0125446519523</v>
      </c>
      <c r="H340">
        <f t="shared" si="123"/>
        <v>57.429549186263401</v>
      </c>
    </row>
    <row r="341" spans="1:8" x14ac:dyDescent="0.25">
      <c r="A341" s="6">
        <v>45809</v>
      </c>
      <c r="B341">
        <v>230</v>
      </c>
      <c r="C341">
        <f>+VLOOKUP(A341,'Undivideable Expenses'!$U$4:$W$66,3,0)</f>
        <v>11500</v>
      </c>
      <c r="D341">
        <f t="shared" si="122"/>
        <v>2</v>
      </c>
      <c r="G341" s="12">
        <f>+VLOOKUP(A341,'Undivideable Expenses'!$U$4:$V$66,2,0)</f>
        <v>2433.8756140350879</v>
      </c>
      <c r="H341">
        <f t="shared" si="123"/>
        <v>48.677512280701755</v>
      </c>
    </row>
    <row r="342" spans="1:8" x14ac:dyDescent="0.25">
      <c r="A342" s="6">
        <v>45810</v>
      </c>
      <c r="B342">
        <v>345</v>
      </c>
      <c r="C342">
        <f>+VLOOKUP(A342,'Undivideable Expenses'!$U$4:$W$66,3,0)</f>
        <v>15005</v>
      </c>
      <c r="D342">
        <f t="shared" si="122"/>
        <v>2.2992335888037321</v>
      </c>
      <c r="G342" s="12">
        <f>+VLOOKUP(A342,'Undivideable Expenses'!$U$4:$V$66,2,0)</f>
        <v>1559.0913157894738</v>
      </c>
      <c r="H342">
        <f t="shared" si="123"/>
        <v>35.847151212753644</v>
      </c>
    </row>
    <row r="343" spans="1:8" x14ac:dyDescent="0.25">
      <c r="A343" s="6">
        <v>45811</v>
      </c>
      <c r="B343">
        <v>632.5</v>
      </c>
      <c r="C343">
        <f>+VLOOKUP(A343,'Undivideable Expenses'!$U$4:$W$66,3,0)</f>
        <v>14801</v>
      </c>
      <c r="D343">
        <f t="shared" si="122"/>
        <v>4.2733599081143163</v>
      </c>
      <c r="G343" s="12">
        <f>+VLOOKUP(A343,'Undivideable Expenses'!$U$4:$V$66,2,0)</f>
        <v>1706.7662280701757</v>
      </c>
      <c r="H343">
        <f t="shared" si="123"/>
        <v>72.936263715585838</v>
      </c>
    </row>
    <row r="344" spans="1:8" x14ac:dyDescent="0.25">
      <c r="A344" s="6">
        <v>45828</v>
      </c>
      <c r="B344">
        <v>460</v>
      </c>
      <c r="C344">
        <f>+VLOOKUP(A344,'Undivideable Expenses'!$U$4:$W$66,3,0)</f>
        <v>18628</v>
      </c>
      <c r="D344">
        <f t="shared" si="122"/>
        <v>2.4694009018681555</v>
      </c>
      <c r="G344" s="12">
        <f>+VLOOKUP(A344,'Undivideable Expenses'!$U$4:$V$66,2,0)</f>
        <v>1703.9334210526317</v>
      </c>
      <c r="H344">
        <f t="shared" si="123"/>
        <v>42.076947266706604</v>
      </c>
    </row>
    <row r="345" spans="1:8" x14ac:dyDescent="0.25">
      <c r="A345" s="6">
        <v>45829</v>
      </c>
      <c r="B345">
        <v>920</v>
      </c>
      <c r="C345">
        <v>20000</v>
      </c>
      <c r="D345">
        <f t="shared" si="122"/>
        <v>4.5999999999999996</v>
      </c>
      <c r="G345" s="12">
        <f>+VLOOKUP(A345,'Undivideable Expenses'!$U$4:$V$66,2,0)</f>
        <v>1330.5642982456143</v>
      </c>
      <c r="H345">
        <f t="shared" si="123"/>
        <v>61.205957719298247</v>
      </c>
    </row>
    <row r="346" spans="1:8" x14ac:dyDescent="0.25">
      <c r="A346" s="6">
        <v>45831</v>
      </c>
      <c r="B346">
        <v>230</v>
      </c>
      <c r="C346">
        <v>20000</v>
      </c>
      <c r="D346">
        <f t="shared" si="122"/>
        <v>1.1499999999999999</v>
      </c>
      <c r="G346" s="12">
        <f>+VLOOKUP(A346,'Undivideable Expenses'!$U$4:$V$66,2,0)</f>
        <v>1720.4204385964913</v>
      </c>
      <c r="H346">
        <f t="shared" si="123"/>
        <v>19.784835043859651</v>
      </c>
    </row>
    <row r="347" spans="1:8" x14ac:dyDescent="0.25">
      <c r="A347" s="6">
        <v>45832</v>
      </c>
      <c r="B347">
        <v>230</v>
      </c>
      <c r="C347">
        <v>20000</v>
      </c>
      <c r="D347">
        <f t="shared" si="122"/>
        <v>1.1499999999999999</v>
      </c>
      <c r="G347" s="12">
        <f>+VLOOKUP(A347,'Undivideable Expenses'!$U$4:$V$66,2,0)</f>
        <v>1720.662456140351</v>
      </c>
      <c r="H347">
        <f t="shared" si="123"/>
        <v>19.787618245614034</v>
      </c>
    </row>
    <row r="348" spans="1:8" x14ac:dyDescent="0.25">
      <c r="A348" s="6"/>
      <c r="G348" s="12"/>
    </row>
    <row r="349" spans="1:8" x14ac:dyDescent="0.25">
      <c r="A349" s="6"/>
      <c r="G349" s="12"/>
    </row>
    <row r="350" spans="1:8" x14ac:dyDescent="0.25">
      <c r="A350" t="s">
        <v>73</v>
      </c>
    </row>
    <row r="351" spans="1:8" x14ac:dyDescent="0.25">
      <c r="A351" s="8" t="s">
        <v>6</v>
      </c>
      <c r="B351" s="8" t="s">
        <v>74</v>
      </c>
      <c r="C351" s="22" t="s">
        <v>50</v>
      </c>
      <c r="D351" s="22" t="s">
        <v>9</v>
      </c>
    </row>
    <row r="352" spans="1:8" x14ac:dyDescent="0.25">
      <c r="A352" s="6">
        <v>45775</v>
      </c>
      <c r="B352">
        <v>3168.75</v>
      </c>
      <c r="C352">
        <v>14867.75</v>
      </c>
      <c r="D352">
        <f t="shared" ref="D352" si="124">+B352/C352*100</f>
        <v>21.312908812698623</v>
      </c>
      <c r="G352" s="12">
        <v>1500</v>
      </c>
      <c r="H352">
        <f t="shared" ref="H352" si="125">+G352/100*D352</f>
        <v>319.69363219047932</v>
      </c>
    </row>
    <row r="353" spans="1:8" x14ac:dyDescent="0.25">
      <c r="A353" s="6">
        <v>45776</v>
      </c>
      <c r="B353">
        <v>5803.75</v>
      </c>
      <c r="C353">
        <v>16135</v>
      </c>
      <c r="D353">
        <f t="shared" ref="D353:D369" si="126">+B353/C353*100</f>
        <v>35.969941121784935</v>
      </c>
      <c r="G353" s="12">
        <v>1500</v>
      </c>
      <c r="H353">
        <f t="shared" ref="H353:H369" si="127">+G353/100*D353</f>
        <v>539.54911682677402</v>
      </c>
    </row>
    <row r="354" spans="1:8" x14ac:dyDescent="0.25">
      <c r="A354" s="6">
        <v>45777</v>
      </c>
      <c r="B354">
        <v>8872.5</v>
      </c>
      <c r="C354">
        <v>16196</v>
      </c>
      <c r="D354">
        <f t="shared" si="126"/>
        <v>54.78204494937021</v>
      </c>
      <c r="G354" s="12">
        <v>1500</v>
      </c>
      <c r="H354">
        <f t="shared" si="127"/>
        <v>821.73067424055318</v>
      </c>
    </row>
    <row r="355" spans="1:8" x14ac:dyDescent="0.25">
      <c r="A355" s="6">
        <v>45778</v>
      </c>
      <c r="B355">
        <v>7961.25</v>
      </c>
      <c r="C355">
        <f>+VLOOKUP(A355,'Undivideable Expenses'!$U$4:$W$66,3,0)</f>
        <v>20405.75</v>
      </c>
      <c r="D355">
        <f t="shared" si="126"/>
        <v>39.01473849282678</v>
      </c>
      <c r="G355" s="12">
        <f>+VLOOKUP(A355,'Undivideable Expenses'!$U$4:$V$66,2,0)</f>
        <v>1784.7421446519522</v>
      </c>
      <c r="H355">
        <f t="shared" si="127"/>
        <v>696.31248050722741</v>
      </c>
    </row>
    <row r="356" spans="1:8" x14ac:dyDescent="0.25">
      <c r="A356" s="6">
        <v>45779</v>
      </c>
      <c r="B356">
        <v>7240</v>
      </c>
      <c r="C356">
        <f>+VLOOKUP(A356,'Undivideable Expenses'!$U$4:$W$66,3,0)</f>
        <v>18853.375</v>
      </c>
      <c r="D356">
        <f t="shared" si="126"/>
        <v>38.401612443395408</v>
      </c>
      <c r="G356" s="12">
        <f>+VLOOKUP(A356,'Undivideable Expenses'!$U$4:$V$66,2,0)</f>
        <v>1511.6399470288625</v>
      </c>
      <c r="H356">
        <f t="shared" si="127"/>
        <v>580.49411399757139</v>
      </c>
    </row>
    <row r="357" spans="1:8" x14ac:dyDescent="0.25">
      <c r="A357" s="6">
        <v>45780</v>
      </c>
      <c r="B357">
        <v>500</v>
      </c>
      <c r="C357">
        <f>+VLOOKUP(A357,'Undivideable Expenses'!$U$4:$W$66,3,0)</f>
        <v>6329.875</v>
      </c>
      <c r="D357">
        <f t="shared" si="126"/>
        <v>7.8990501392207593</v>
      </c>
      <c r="G357" s="12">
        <f>+VLOOKUP(A357,'Undivideable Expenses'!$U$4:$V$66,2,0)</f>
        <v>1353.2001005093377</v>
      </c>
      <c r="H357">
        <f t="shared" si="127"/>
        <v>106.8899544232183</v>
      </c>
    </row>
    <row r="358" spans="1:8" x14ac:dyDescent="0.25">
      <c r="A358" s="6">
        <v>45781</v>
      </c>
      <c r="B358">
        <v>2135</v>
      </c>
      <c r="C358">
        <f>+VLOOKUP(A358,'Undivideable Expenses'!$U$4:$W$66,3,0)</f>
        <v>9181.1428571428569</v>
      </c>
      <c r="D358">
        <f t="shared" si="126"/>
        <v>23.254185597809172</v>
      </c>
      <c r="G358" s="12">
        <f>+VLOOKUP(A358,'Undivideable Expenses'!$U$4:$V$66,2,0)</f>
        <v>2745.8994770797963</v>
      </c>
      <c r="H358">
        <f t="shared" si="127"/>
        <v>638.53656072940737</v>
      </c>
    </row>
    <row r="359" spans="1:8" x14ac:dyDescent="0.25">
      <c r="A359" s="6">
        <v>45782</v>
      </c>
      <c r="B359">
        <v>2013.75</v>
      </c>
      <c r="C359">
        <f>+VLOOKUP(A359,'Undivideable Expenses'!$U$4:$W$66,3,0)</f>
        <v>14211</v>
      </c>
      <c r="D359">
        <f t="shared" si="126"/>
        <v>14.170360987967069</v>
      </c>
      <c r="G359" s="12">
        <f>+VLOOKUP(A359,'Undivideable Expenses'!$U$4:$V$66,2,0)</f>
        <v>1633.6385602716468</v>
      </c>
      <c r="H359">
        <f t="shared" si="127"/>
        <v>231.49248122912033</v>
      </c>
    </row>
    <row r="360" spans="1:8" x14ac:dyDescent="0.25">
      <c r="A360" s="6">
        <v>45783</v>
      </c>
      <c r="B360">
        <v>2082.5</v>
      </c>
      <c r="C360">
        <f>+VLOOKUP(A360,'Undivideable Expenses'!$U$4:$W$66,3,0)</f>
        <v>14709.75</v>
      </c>
      <c r="D360">
        <f t="shared" si="126"/>
        <v>14.157276636244667</v>
      </c>
      <c r="G360" s="12">
        <f>+VLOOKUP(A360,'Undivideable Expenses'!$U$4:$V$66,2,0)</f>
        <v>1584.3009371816638</v>
      </c>
      <c r="H360">
        <f t="shared" si="127"/>
        <v>224.293866427425</v>
      </c>
    </row>
    <row r="361" spans="1:8" x14ac:dyDescent="0.25">
      <c r="A361" s="6">
        <v>45784</v>
      </c>
      <c r="B361">
        <v>240</v>
      </c>
      <c r="C361">
        <f>+VLOOKUP(A361,'Undivideable Expenses'!$U$4:$W$66,3,0)</f>
        <v>16863.625</v>
      </c>
      <c r="D361">
        <f t="shared" si="126"/>
        <v>1.423181552009132</v>
      </c>
      <c r="G361" s="12">
        <f>+VLOOKUP(A361,'Undivideable Expenses'!$U$4:$V$66,2,0)</f>
        <v>1698.3584149405774</v>
      </c>
      <c r="H361">
        <f t="shared" si="127"/>
        <v>24.170723648429004</v>
      </c>
    </row>
    <row r="362" spans="1:8" x14ac:dyDescent="0.25">
      <c r="A362" s="6">
        <v>45786</v>
      </c>
      <c r="B362">
        <v>250</v>
      </c>
      <c r="C362">
        <f>+VLOOKUP(A362,'Undivideable Expenses'!$U$4:$W$66,3,0)</f>
        <v>16542.875</v>
      </c>
      <c r="D362">
        <f t="shared" si="126"/>
        <v>1.5112246208715232</v>
      </c>
      <c r="G362" s="12">
        <f>+VLOOKUP(A362,'Undivideable Expenses'!$U$4:$V$66,2,0)</f>
        <v>1777.7814601018674</v>
      </c>
      <c r="H362">
        <f t="shared" si="127"/>
        <v>26.866271130348679</v>
      </c>
    </row>
    <row r="363" spans="1:8" x14ac:dyDescent="0.25">
      <c r="A363" s="6">
        <v>45789</v>
      </c>
      <c r="B363">
        <v>120</v>
      </c>
      <c r="C363">
        <f>+VLOOKUP(A363,'Undivideable Expenses'!$U$4:$W$66,3,0)</f>
        <v>11583.75</v>
      </c>
      <c r="D363">
        <f t="shared" si="126"/>
        <v>1.0359339592101005</v>
      </c>
      <c r="G363" s="12">
        <f>+VLOOKUP(A363,'Undivideable Expenses'!$U$4:$V$66,2,0)</f>
        <v>848.96434634974526</v>
      </c>
      <c r="H363">
        <f t="shared" si="127"/>
        <v>8.7947099654230669</v>
      </c>
    </row>
    <row r="364" spans="1:8" x14ac:dyDescent="0.25">
      <c r="A364" s="6">
        <v>45791</v>
      </c>
      <c r="B364">
        <v>250</v>
      </c>
      <c r="C364">
        <f>+VLOOKUP(A364,'Undivideable Expenses'!$U$4:$W$66,3,0)</f>
        <v>15322</v>
      </c>
      <c r="D364">
        <f t="shared" si="126"/>
        <v>1.6316407779663229</v>
      </c>
      <c r="G364" s="12">
        <f>+VLOOKUP(A364,'Undivideable Expenses'!$U$4:$V$66,2,0)</f>
        <v>1104.7538200339559</v>
      </c>
      <c r="H364">
        <f t="shared" si="127"/>
        <v>18.025613823814709</v>
      </c>
    </row>
    <row r="365" spans="1:8" x14ac:dyDescent="0.25">
      <c r="A365" s="6">
        <v>45794</v>
      </c>
      <c r="B365">
        <v>187.5</v>
      </c>
      <c r="C365">
        <f>+VLOOKUP(A365,'Undivideable Expenses'!$U$4:$W$66,3,0)</f>
        <v>15607</v>
      </c>
      <c r="D365">
        <f t="shared" si="126"/>
        <v>1.2013839943615043</v>
      </c>
      <c r="G365" s="12">
        <f>+VLOOKUP(A365,'Undivideable Expenses'!$U$4:$V$66,2,0)</f>
        <v>1690.2436685908319</v>
      </c>
      <c r="H365">
        <f t="shared" si="127"/>
        <v>20.306316900158965</v>
      </c>
    </row>
    <row r="366" spans="1:8" x14ac:dyDescent="0.25">
      <c r="A366" s="6">
        <v>45795</v>
      </c>
      <c r="B366">
        <v>166.66666666666666</v>
      </c>
      <c r="C366">
        <f>+VLOOKUP(A366,'Undivideable Expenses'!$U$4:$W$66,3,0)</f>
        <v>13100</v>
      </c>
      <c r="D366">
        <f t="shared" si="126"/>
        <v>1.2722646310432568</v>
      </c>
      <c r="G366" s="12">
        <f>+VLOOKUP(A366,'Undivideable Expenses'!$U$4:$V$66,2,0)</f>
        <v>2736.7653989813243</v>
      </c>
      <c r="H366">
        <f t="shared" si="127"/>
        <v>34.81889820586926</v>
      </c>
    </row>
    <row r="367" spans="1:8" x14ac:dyDescent="0.25">
      <c r="A367" s="6">
        <v>45823</v>
      </c>
      <c r="B367">
        <v>460.00000000000006</v>
      </c>
      <c r="C367">
        <f>+VLOOKUP(A367,'Undivideable Expenses'!$U$4:$W$66,3,0)</f>
        <v>12830</v>
      </c>
      <c r="D367">
        <f t="shared" si="126"/>
        <v>3.5853468433359321</v>
      </c>
      <c r="G367" s="12">
        <f>+VLOOKUP(A367,'Undivideable Expenses'!$U$4:$V$66,2,0)</f>
        <v>2760.5034210526314</v>
      </c>
      <c r="H367">
        <f t="shared" si="127"/>
        <v>98.973622266890928</v>
      </c>
    </row>
    <row r="368" spans="1:8" x14ac:dyDescent="0.25">
      <c r="A368" s="6">
        <v>45831</v>
      </c>
      <c r="B368">
        <v>115</v>
      </c>
      <c r="C368">
        <v>20000</v>
      </c>
      <c r="D368">
        <f t="shared" si="126"/>
        <v>0.57499999999999996</v>
      </c>
      <c r="G368" s="12">
        <f>+VLOOKUP(A368,'Undivideable Expenses'!$U$4:$V$66,2,0)</f>
        <v>1720.4204385964913</v>
      </c>
      <c r="H368">
        <f t="shared" si="127"/>
        <v>9.8924175219298256</v>
      </c>
    </row>
    <row r="369" spans="1:8" x14ac:dyDescent="0.25">
      <c r="A369" s="6">
        <v>45832</v>
      </c>
      <c r="B369">
        <v>115</v>
      </c>
      <c r="C369">
        <v>20000</v>
      </c>
      <c r="D369">
        <f t="shared" si="126"/>
        <v>0.57499999999999996</v>
      </c>
      <c r="G369" s="12">
        <f>+VLOOKUP(A369,'Undivideable Expenses'!$U$4:$V$66,2,0)</f>
        <v>1720.662456140351</v>
      </c>
      <c r="H369">
        <f t="shared" si="127"/>
        <v>9.8938091228070171</v>
      </c>
    </row>
    <row r="371" spans="1:8" x14ac:dyDescent="0.25">
      <c r="A371" t="s">
        <v>75</v>
      </c>
    </row>
    <row r="372" spans="1:8" x14ac:dyDescent="0.25">
      <c r="A372" s="8" t="s">
        <v>6</v>
      </c>
      <c r="B372" s="8" t="s">
        <v>76</v>
      </c>
      <c r="C372" s="22" t="s">
        <v>50</v>
      </c>
      <c r="D372" s="22" t="s">
        <v>9</v>
      </c>
    </row>
    <row r="373" spans="1:8" x14ac:dyDescent="0.25">
      <c r="A373" s="6">
        <v>45771</v>
      </c>
      <c r="B373">
        <v>3818.75</v>
      </c>
      <c r="C373">
        <v>20494.25</v>
      </c>
      <c r="D373">
        <f t="shared" ref="D373:D383" si="128">+B373/C373*100</f>
        <v>18.633275186942679</v>
      </c>
      <c r="G373" s="12">
        <v>1500</v>
      </c>
      <c r="H373">
        <f t="shared" ref="H373" si="129">+G373/100*D373</f>
        <v>279.49912780414019</v>
      </c>
    </row>
    <row r="374" spans="1:8" x14ac:dyDescent="0.25">
      <c r="A374" s="6">
        <v>45772</v>
      </c>
      <c r="B374">
        <v>8155</v>
      </c>
      <c r="C374">
        <v>20771</v>
      </c>
      <c r="D374">
        <f t="shared" si="128"/>
        <v>39.261470319195027</v>
      </c>
      <c r="G374" s="12">
        <v>1500</v>
      </c>
      <c r="H374">
        <f t="shared" ref="H374:H383" si="130">+G374/100*D374</f>
        <v>588.92205478792539</v>
      </c>
    </row>
    <row r="375" spans="1:8" x14ac:dyDescent="0.25">
      <c r="A375" s="6">
        <v>45773</v>
      </c>
      <c r="B375">
        <v>5531.25</v>
      </c>
      <c r="C375">
        <v>14196</v>
      </c>
      <c r="D375">
        <f t="shared" si="128"/>
        <v>38.963440405748095</v>
      </c>
      <c r="G375" s="12">
        <v>1500</v>
      </c>
      <c r="H375">
        <f t="shared" si="130"/>
        <v>584.45160608622143</v>
      </c>
    </row>
    <row r="376" spans="1:8" x14ac:dyDescent="0.25">
      <c r="A376" s="6">
        <v>45775</v>
      </c>
      <c r="B376">
        <v>7181.25</v>
      </c>
      <c r="C376">
        <v>18308.875</v>
      </c>
      <c r="D376">
        <f t="shared" si="128"/>
        <v>39.222781301418031</v>
      </c>
      <c r="G376" s="12">
        <v>1500</v>
      </c>
      <c r="H376">
        <f t="shared" si="130"/>
        <v>588.34171952127042</v>
      </c>
    </row>
    <row r="377" spans="1:8" x14ac:dyDescent="0.25">
      <c r="A377" s="6">
        <v>45776</v>
      </c>
      <c r="B377">
        <v>8328.75</v>
      </c>
      <c r="C377">
        <v>18555.375</v>
      </c>
      <c r="D377">
        <f t="shared" si="128"/>
        <v>44.885915806066976</v>
      </c>
      <c r="G377" s="12">
        <v>1500</v>
      </c>
      <c r="H377">
        <f t="shared" si="130"/>
        <v>673.28873709100458</v>
      </c>
    </row>
    <row r="378" spans="1:8" x14ac:dyDescent="0.25">
      <c r="A378" s="6">
        <v>45777</v>
      </c>
      <c r="B378">
        <v>7363.75</v>
      </c>
      <c r="C378">
        <v>20054.75</v>
      </c>
      <c r="D378">
        <f t="shared" si="128"/>
        <v>36.718233834877026</v>
      </c>
      <c r="G378" s="12">
        <v>1500</v>
      </c>
      <c r="H378">
        <f t="shared" si="130"/>
        <v>550.77350752315533</v>
      </c>
    </row>
    <row r="379" spans="1:8" x14ac:dyDescent="0.25">
      <c r="A379" s="6">
        <v>45778</v>
      </c>
      <c r="B379">
        <v>3841.25</v>
      </c>
      <c r="C379">
        <f>+VLOOKUP(A379,'Undivideable Expenses'!$U$4:$W$66,3,0)</f>
        <v>20405.75</v>
      </c>
      <c r="D379">
        <f t="shared" si="128"/>
        <v>18.824350979503325</v>
      </c>
      <c r="G379" s="12">
        <f>+VLOOKUP(A379,'Undivideable Expenses'!$U$4:$V$66,2,0)</f>
        <v>1784.7421446519522</v>
      </c>
      <c r="H379">
        <f t="shared" si="130"/>
        <v>335.96612538839844</v>
      </c>
    </row>
    <row r="380" spans="1:8" x14ac:dyDescent="0.25">
      <c r="A380" s="6">
        <v>45779</v>
      </c>
      <c r="B380">
        <v>1000</v>
      </c>
      <c r="C380">
        <f>+VLOOKUP(A380,'Undivideable Expenses'!$U$4:$W$66,3,0)</f>
        <v>18853.375</v>
      </c>
      <c r="D380">
        <f t="shared" si="128"/>
        <v>5.3040901164910794</v>
      </c>
      <c r="G380" s="12">
        <f>+VLOOKUP(A380,'Undivideable Expenses'!$U$4:$V$66,2,0)</f>
        <v>1511.6399470288625</v>
      </c>
      <c r="H380">
        <f t="shared" si="130"/>
        <v>80.178745027288883</v>
      </c>
    </row>
    <row r="381" spans="1:8" x14ac:dyDescent="0.25">
      <c r="A381" s="6">
        <v>45783</v>
      </c>
      <c r="B381">
        <v>250</v>
      </c>
      <c r="C381">
        <f>+VLOOKUP(A381,'Undivideable Expenses'!$U$4:$W$66,3,0)</f>
        <v>14709.75</v>
      </c>
      <c r="D381">
        <f t="shared" si="128"/>
        <v>1.6995530175563827</v>
      </c>
      <c r="G381" s="12">
        <f>+VLOOKUP(A381,'Undivideable Expenses'!$U$4:$V$66,2,0)</f>
        <v>1584.3009371816638</v>
      </c>
      <c r="H381">
        <f t="shared" si="130"/>
        <v>26.926034385045018</v>
      </c>
    </row>
    <row r="382" spans="1:8" x14ac:dyDescent="0.25">
      <c r="A382" s="6">
        <v>45787</v>
      </c>
      <c r="B382">
        <v>187.5</v>
      </c>
      <c r="C382">
        <f>+VLOOKUP(A382,'Undivideable Expenses'!$U$4:$W$66,3,0)</f>
        <v>11656.875</v>
      </c>
      <c r="D382">
        <f t="shared" si="128"/>
        <v>1.6084928422068521</v>
      </c>
      <c r="G382" s="12">
        <f>+VLOOKUP(A382,'Undivideable Expenses'!$U$4:$V$66,2,0)</f>
        <v>1422.8775198641765</v>
      </c>
      <c r="H382">
        <f t="shared" si="130"/>
        <v>22.88688306038566</v>
      </c>
    </row>
    <row r="383" spans="1:8" x14ac:dyDescent="0.25">
      <c r="A383" s="6">
        <v>45826</v>
      </c>
      <c r="B383">
        <v>1115</v>
      </c>
      <c r="C383">
        <f>+VLOOKUP(A383,'Undivideable Expenses'!$U$4:$W$66,3,0)</f>
        <v>17368</v>
      </c>
      <c r="D383">
        <f t="shared" si="128"/>
        <v>6.4198526024873335</v>
      </c>
      <c r="G383" s="12">
        <f>+VLOOKUP(A383,'Undivideable Expenses'!$U$4:$V$66,2,0)</f>
        <v>1640.1952631578947</v>
      </c>
      <c r="H383">
        <f t="shared" si="130"/>
        <v>105.29811828771606</v>
      </c>
    </row>
    <row r="386" spans="1:8" x14ac:dyDescent="0.25">
      <c r="A386" t="s">
        <v>77</v>
      </c>
    </row>
    <row r="387" spans="1:8" x14ac:dyDescent="0.25">
      <c r="A387" s="8" t="s">
        <v>6</v>
      </c>
      <c r="B387" s="8" t="s">
        <v>78</v>
      </c>
      <c r="C387" s="22" t="s">
        <v>50</v>
      </c>
      <c r="D387" s="22" t="s">
        <v>9</v>
      </c>
    </row>
    <row r="388" spans="1:8" x14ac:dyDescent="0.25">
      <c r="A388" s="6">
        <v>45762</v>
      </c>
      <c r="B388">
        <v>120</v>
      </c>
      <c r="C388">
        <v>18912</v>
      </c>
      <c r="D388">
        <f t="shared" ref="D388" si="131">+B388/C388*100</f>
        <v>0.63451776649746194</v>
      </c>
      <c r="G388" s="12">
        <v>1000</v>
      </c>
      <c r="H388" s="7">
        <f t="shared" ref="H388" si="132">+G388/100*D388</f>
        <v>6.345177664974619</v>
      </c>
    </row>
    <row r="389" spans="1:8" x14ac:dyDescent="0.25">
      <c r="A389" s="6">
        <v>45779</v>
      </c>
      <c r="B389">
        <v>508.75</v>
      </c>
      <c r="C389">
        <f>+VLOOKUP(A389,'Undivideable Expenses'!$U$4:$W$66,3,0)</f>
        <v>18853.375</v>
      </c>
      <c r="D389">
        <f t="shared" ref="D389:D427" si="133">+B389/C389*100</f>
        <v>2.6984558467648365</v>
      </c>
      <c r="G389" s="12">
        <f>+VLOOKUP(A389,'Undivideable Expenses'!$U$4:$V$66,2,0)</f>
        <v>1511.6399470288625</v>
      </c>
      <c r="H389" s="7">
        <f t="shared" ref="H389:H427" si="134">+G389/100*D389</f>
        <v>40.790936532633218</v>
      </c>
    </row>
    <row r="390" spans="1:8" x14ac:dyDescent="0.25">
      <c r="A390" s="6">
        <v>45780</v>
      </c>
      <c r="B390">
        <v>46.25</v>
      </c>
      <c r="C390">
        <f>+VLOOKUP(A390,'Undivideable Expenses'!$U$4:$W$66,3,0)</f>
        <v>6329.875</v>
      </c>
      <c r="D390">
        <f t="shared" si="133"/>
        <v>0.73066213787792011</v>
      </c>
      <c r="G390" s="12">
        <f>+VLOOKUP(A390,'Undivideable Expenses'!$U$4:$V$66,2,0)</f>
        <v>1353.2001005093377</v>
      </c>
      <c r="H390" s="7">
        <f t="shared" si="134"/>
        <v>9.8873207841476916</v>
      </c>
    </row>
    <row r="391" spans="1:8" x14ac:dyDescent="0.25">
      <c r="A391" s="6">
        <v>45782</v>
      </c>
      <c r="B391">
        <v>1417.5</v>
      </c>
      <c r="C391">
        <f>+VLOOKUP(A391,'Undivideable Expenses'!$U$4:$W$66,3,0)</f>
        <v>14211</v>
      </c>
      <c r="D391">
        <f t="shared" si="133"/>
        <v>9.9746675110829646</v>
      </c>
      <c r="G391" s="12">
        <f>+VLOOKUP(A391,'Undivideable Expenses'!$U$4:$V$66,2,0)</f>
        <v>1633.6385602716468</v>
      </c>
      <c r="H391" s="7">
        <f t="shared" si="134"/>
        <v>162.95001471993945</v>
      </c>
    </row>
    <row r="392" spans="1:8" x14ac:dyDescent="0.25">
      <c r="A392" s="6">
        <v>45783</v>
      </c>
      <c r="B392">
        <v>2943.75</v>
      </c>
      <c r="C392">
        <f>+VLOOKUP(A392,'Undivideable Expenses'!$U$4:$W$66,3,0)</f>
        <v>14709.75</v>
      </c>
      <c r="D392">
        <f t="shared" si="133"/>
        <v>20.012236781726404</v>
      </c>
      <c r="G392" s="12">
        <f>+VLOOKUP(A392,'Undivideable Expenses'!$U$4:$V$66,2,0)</f>
        <v>1584.3009371816638</v>
      </c>
      <c r="H392" s="7">
        <f t="shared" si="134"/>
        <v>317.05405488390505</v>
      </c>
    </row>
    <row r="393" spans="1:8" x14ac:dyDescent="0.25">
      <c r="A393" s="6">
        <v>45784</v>
      </c>
      <c r="B393">
        <v>6868.75</v>
      </c>
      <c r="C393">
        <f>+VLOOKUP(A393,'Undivideable Expenses'!$U$4:$W$66,3,0)</f>
        <v>16863.625</v>
      </c>
      <c r="D393">
        <f t="shared" si="133"/>
        <v>40.73115952234469</v>
      </c>
      <c r="G393" s="12">
        <f>+VLOOKUP(A393,'Undivideable Expenses'!$U$4:$V$66,2,0)</f>
        <v>1698.3584149405774</v>
      </c>
      <c r="H393" s="7">
        <f t="shared" si="134"/>
        <v>691.76107525061138</v>
      </c>
    </row>
    <row r="394" spans="1:8" x14ac:dyDescent="0.25">
      <c r="A394" s="6">
        <v>45785</v>
      </c>
      <c r="B394">
        <v>1283.75</v>
      </c>
      <c r="C394">
        <f>+VLOOKUP(A394,'Undivideable Expenses'!$U$4:$W$66,3,0)</f>
        <v>16241.5</v>
      </c>
      <c r="D394">
        <f t="shared" si="133"/>
        <v>7.9041344703383309</v>
      </c>
      <c r="G394" s="12">
        <f>+VLOOKUP(A394,'Undivideable Expenses'!$U$4:$V$66,2,0)</f>
        <v>1684.9805867572156</v>
      </c>
      <c r="H394" s="7">
        <f t="shared" si="134"/>
        <v>133.18313137638617</v>
      </c>
    </row>
    <row r="395" spans="1:8" x14ac:dyDescent="0.25">
      <c r="A395" s="6">
        <v>45786</v>
      </c>
      <c r="B395">
        <v>4993.75</v>
      </c>
      <c r="C395">
        <f>+VLOOKUP(A395,'Undivideable Expenses'!$U$4:$W$66,3,0)</f>
        <v>16542.875</v>
      </c>
      <c r="D395">
        <f t="shared" si="133"/>
        <v>30.186711801908679</v>
      </c>
      <c r="G395" s="12">
        <f>+VLOOKUP(A395,'Undivideable Expenses'!$U$4:$V$66,2,0)</f>
        <v>1777.7814601018674</v>
      </c>
      <c r="H395" s="7">
        <f t="shared" si="134"/>
        <v>536.65376582871488</v>
      </c>
    </row>
    <row r="396" spans="1:8" x14ac:dyDescent="0.25">
      <c r="A396" s="6">
        <v>45787</v>
      </c>
      <c r="B396">
        <v>2604.375</v>
      </c>
      <c r="C396">
        <f>+VLOOKUP(A396,'Undivideable Expenses'!$U$4:$W$66,3,0)</f>
        <v>11656.875</v>
      </c>
      <c r="D396">
        <f t="shared" si="133"/>
        <v>22.341965578253177</v>
      </c>
      <c r="G396" s="12">
        <f>+VLOOKUP(A396,'Undivideable Expenses'!$U$4:$V$66,2,0)</f>
        <v>1422.8775198641765</v>
      </c>
      <c r="H396" s="7">
        <f t="shared" si="134"/>
        <v>317.89880570875681</v>
      </c>
    </row>
    <row r="397" spans="1:8" x14ac:dyDescent="0.25">
      <c r="A397" s="6">
        <v>45789</v>
      </c>
      <c r="B397">
        <v>1417.5</v>
      </c>
      <c r="C397">
        <f>+VLOOKUP(A397,'Undivideable Expenses'!$U$4:$W$66,3,0)</f>
        <v>11583.75</v>
      </c>
      <c r="D397">
        <f t="shared" si="133"/>
        <v>12.236969893169311</v>
      </c>
      <c r="G397" s="12">
        <f>+VLOOKUP(A397,'Undivideable Expenses'!$U$4:$V$66,2,0)</f>
        <v>848.96434634974526</v>
      </c>
      <c r="H397" s="7">
        <f t="shared" si="134"/>
        <v>103.88751146655997</v>
      </c>
    </row>
    <row r="398" spans="1:8" x14ac:dyDescent="0.25">
      <c r="A398" s="6">
        <v>45790</v>
      </c>
      <c r="B398">
        <v>416.25</v>
      </c>
      <c r="C398">
        <f>+VLOOKUP(A398,'Undivideable Expenses'!$U$4:$W$66,3,0)</f>
        <v>13642.875</v>
      </c>
      <c r="D398">
        <f t="shared" si="133"/>
        <v>3.0510431269069018</v>
      </c>
      <c r="G398" s="12">
        <f>+VLOOKUP(A398,'Undivideable Expenses'!$U$4:$V$66,2,0)</f>
        <v>1135.0084889643465</v>
      </c>
      <c r="H398" s="7">
        <f t="shared" si="134"/>
        <v>34.629598492356578</v>
      </c>
    </row>
    <row r="399" spans="1:8" x14ac:dyDescent="0.25">
      <c r="A399" s="6">
        <v>45791</v>
      </c>
      <c r="B399">
        <v>540</v>
      </c>
      <c r="C399">
        <f>+VLOOKUP(A399,'Undivideable Expenses'!$U$4:$W$66,3,0)</f>
        <v>15322</v>
      </c>
      <c r="D399">
        <f t="shared" si="133"/>
        <v>3.5243440804072574</v>
      </c>
      <c r="G399" s="12">
        <f>+VLOOKUP(A399,'Undivideable Expenses'!$U$4:$V$66,2,0)</f>
        <v>1104.7538200339559</v>
      </c>
      <c r="H399" s="7">
        <f t="shared" si="134"/>
        <v>38.935325859439772</v>
      </c>
    </row>
    <row r="400" spans="1:8" x14ac:dyDescent="0.25">
      <c r="A400" s="6">
        <v>45792</v>
      </c>
      <c r="B400">
        <v>420</v>
      </c>
      <c r="C400">
        <f>+VLOOKUP(A400,'Undivideable Expenses'!$U$4:$W$66,3,0)</f>
        <v>15938</v>
      </c>
      <c r="D400">
        <f t="shared" si="133"/>
        <v>2.6352114443468442</v>
      </c>
      <c r="G400" s="12">
        <f>+VLOOKUP(A400,'Undivideable Expenses'!$U$4:$V$66,2,0)</f>
        <v>1036.9100169779288</v>
      </c>
      <c r="H400" s="7">
        <f t="shared" si="134"/>
        <v>27.324771434981184</v>
      </c>
    </row>
    <row r="401" spans="1:8" x14ac:dyDescent="0.25">
      <c r="A401" s="6">
        <v>45793</v>
      </c>
      <c r="B401">
        <v>220</v>
      </c>
      <c r="C401">
        <f>+VLOOKUP(A401,'Undivideable Expenses'!$U$4:$W$66,3,0)</f>
        <v>12700</v>
      </c>
      <c r="D401">
        <f t="shared" si="133"/>
        <v>1.7322834645669292</v>
      </c>
      <c r="G401" s="12">
        <f>+VLOOKUP(A401,'Undivideable Expenses'!$U$4:$V$66,2,0)</f>
        <v>852.63157894736844</v>
      </c>
      <c r="H401" s="7">
        <f t="shared" si="134"/>
        <v>14.769995855781186</v>
      </c>
    </row>
    <row r="402" spans="1:8" x14ac:dyDescent="0.25">
      <c r="A402" s="6">
        <v>45795</v>
      </c>
      <c r="B402">
        <v>186.66666666666669</v>
      </c>
      <c r="C402">
        <f>+VLOOKUP(A402,'Undivideable Expenses'!$U$4:$W$66,3,0)</f>
        <v>13100</v>
      </c>
      <c r="D402">
        <f t="shared" si="133"/>
        <v>1.4249363867684479</v>
      </c>
      <c r="G402" s="12">
        <f>+VLOOKUP(A402,'Undivideable Expenses'!$U$4:$V$66,2,0)</f>
        <v>2736.7653989813243</v>
      </c>
      <c r="H402" s="7">
        <f t="shared" si="134"/>
        <v>38.997165990573578</v>
      </c>
    </row>
    <row r="403" spans="1:8" x14ac:dyDescent="0.25">
      <c r="A403" s="6">
        <v>45796</v>
      </c>
      <c r="B403">
        <v>1182.5</v>
      </c>
      <c r="C403">
        <f>+VLOOKUP(A403,'Undivideable Expenses'!$U$4:$W$66,3,0)</f>
        <v>11775.125</v>
      </c>
      <c r="D403">
        <f t="shared" si="133"/>
        <v>10.042356238256495</v>
      </c>
      <c r="G403" s="12">
        <f>+VLOOKUP(A403,'Undivideable Expenses'!$U$4:$V$66,2,0)</f>
        <v>1380.3305643463495</v>
      </c>
      <c r="H403" s="7">
        <f t="shared" si="134"/>
        <v>138.61771253719672</v>
      </c>
    </row>
    <row r="404" spans="1:8" x14ac:dyDescent="0.25">
      <c r="A404" s="6">
        <v>45797</v>
      </c>
      <c r="B404">
        <v>4032.5</v>
      </c>
      <c r="C404">
        <f>+VLOOKUP(A404,'Undivideable Expenses'!$U$4:$W$66,3,0)</f>
        <v>14170</v>
      </c>
      <c r="D404">
        <f t="shared" si="133"/>
        <v>28.458009880028229</v>
      </c>
      <c r="G404" s="12">
        <f>+VLOOKUP(A404,'Undivideable Expenses'!$U$4:$V$66,2,0)</f>
        <v>1395.3050118845501</v>
      </c>
      <c r="H404" s="7">
        <f t="shared" si="134"/>
        <v>397.07603813863432</v>
      </c>
    </row>
    <row r="405" spans="1:8" x14ac:dyDescent="0.25">
      <c r="A405" s="6">
        <v>45798</v>
      </c>
      <c r="B405">
        <v>6952.5</v>
      </c>
      <c r="C405">
        <f>+VLOOKUP(A405,'Undivideable Expenses'!$U$4:$W$66,3,0)</f>
        <v>17514</v>
      </c>
      <c r="D405">
        <f t="shared" si="133"/>
        <v>39.696813977389517</v>
      </c>
      <c r="G405" s="12">
        <f>+VLOOKUP(A405,'Undivideable Expenses'!$U$4:$V$66,2,0)</f>
        <v>1463.0125446519523</v>
      </c>
      <c r="H405" s="7">
        <f t="shared" si="134"/>
        <v>580.76936831635828</v>
      </c>
    </row>
    <row r="406" spans="1:8" x14ac:dyDescent="0.25">
      <c r="A406" s="6">
        <v>45799</v>
      </c>
      <c r="B406">
        <v>4963.75</v>
      </c>
      <c r="C406">
        <f>+VLOOKUP(A406,'Undivideable Expenses'!$U$4:$W$66,3,0)</f>
        <v>15973</v>
      </c>
      <c r="D406">
        <f t="shared" si="133"/>
        <v>31.075878044199584</v>
      </c>
      <c r="G406" s="12">
        <f>+VLOOKUP(A406,'Undivideable Expenses'!$U$4:$V$66,2,0)</f>
        <v>1755.778064516129</v>
      </c>
      <c r="H406" s="7">
        <f t="shared" si="134"/>
        <v>545.62345005584018</v>
      </c>
    </row>
    <row r="407" spans="1:8" x14ac:dyDescent="0.25">
      <c r="A407" s="6">
        <v>45800</v>
      </c>
      <c r="B407">
        <v>320</v>
      </c>
      <c r="C407">
        <f>+VLOOKUP(A407,'Undivideable Expenses'!$U$4:$W$66,3,0)</f>
        <v>17404.5</v>
      </c>
      <c r="D407">
        <f t="shared" si="133"/>
        <v>1.8386049584877475</v>
      </c>
      <c r="G407" s="12">
        <f>+VLOOKUP(A407,'Undivideable Expenses'!$U$4:$V$66,2,0)</f>
        <v>1757.0343932088285</v>
      </c>
      <c r="H407" s="7">
        <f t="shared" si="134"/>
        <v>32.304921475872625</v>
      </c>
    </row>
    <row r="408" spans="1:8" x14ac:dyDescent="0.25">
      <c r="A408" s="6">
        <v>45801</v>
      </c>
      <c r="B408">
        <v>2542.5</v>
      </c>
      <c r="C408">
        <f>+VLOOKUP(A408,'Undivideable Expenses'!$U$4:$W$66,3,0)</f>
        <v>13703.75</v>
      </c>
      <c r="D408">
        <f t="shared" si="133"/>
        <v>18.553315698257776</v>
      </c>
      <c r="G408" s="12">
        <f>+VLOOKUP(A408,'Undivideable Expenses'!$U$4:$V$66,2,0)</f>
        <v>1368.6498254668929</v>
      </c>
      <c r="H408" s="7">
        <f t="shared" si="134"/>
        <v>253.92992292252671</v>
      </c>
    </row>
    <row r="409" spans="1:8" x14ac:dyDescent="0.25">
      <c r="A409" s="6">
        <v>45803</v>
      </c>
      <c r="B409">
        <v>546.25</v>
      </c>
      <c r="C409">
        <f>+VLOOKUP(A409,'Undivideable Expenses'!$U$4:$W$66,3,0)</f>
        <v>10873</v>
      </c>
      <c r="D409">
        <f t="shared" si="133"/>
        <v>5.0239124436678013</v>
      </c>
      <c r="G409" s="12">
        <f>+VLOOKUP(A409,'Undivideable Expenses'!$U$4:$V$66,2,0)</f>
        <v>1563.6584475382006</v>
      </c>
      <c r="H409" s="7">
        <f t="shared" si="134"/>
        <v>78.556831322334418</v>
      </c>
    </row>
    <row r="410" spans="1:8" x14ac:dyDescent="0.25">
      <c r="A410" s="6">
        <v>45805</v>
      </c>
      <c r="B410">
        <v>776.25</v>
      </c>
      <c r="C410">
        <f>+VLOOKUP(A410,'Undivideable Expenses'!$U$4:$W$66,3,0)</f>
        <v>14867.75</v>
      </c>
      <c r="D410">
        <f t="shared" si="133"/>
        <v>5.2210320996788351</v>
      </c>
      <c r="G410" s="12">
        <f>+VLOOKUP(A410,'Undivideable Expenses'!$U$4:$V$66,2,0)</f>
        <v>1758.8680095076402</v>
      </c>
      <c r="H410" s="7">
        <f t="shared" si="134"/>
        <v>91.831063367376075</v>
      </c>
    </row>
    <row r="411" spans="1:8" x14ac:dyDescent="0.25">
      <c r="A411" s="6">
        <v>45806</v>
      </c>
      <c r="B411">
        <v>252.5</v>
      </c>
      <c r="C411">
        <f>+VLOOKUP(A411,'Undivideable Expenses'!$U$4:$W$66,3,0)</f>
        <v>16135</v>
      </c>
      <c r="D411">
        <f t="shared" si="133"/>
        <v>1.5649209792376821</v>
      </c>
      <c r="G411" s="12">
        <f>+VLOOKUP(A411,'Undivideable Expenses'!$U$4:$V$66,2,0)</f>
        <v>1614.6939300509337</v>
      </c>
      <c r="H411" s="7">
        <f t="shared" si="134"/>
        <v>25.268684061844489</v>
      </c>
    </row>
    <row r="412" spans="1:8" x14ac:dyDescent="0.25">
      <c r="A412" s="6">
        <v>45811</v>
      </c>
      <c r="B412">
        <v>780</v>
      </c>
      <c r="C412">
        <f>+VLOOKUP(A412,'Undivideable Expenses'!$U$4:$W$66,3,0)</f>
        <v>14801</v>
      </c>
      <c r="D412">
        <f t="shared" si="133"/>
        <v>5.2699141949868249</v>
      </c>
      <c r="G412" s="12">
        <f>+VLOOKUP(A412,'Undivideable Expenses'!$U$4:$V$66,2,0)</f>
        <v>1706.7662280701757</v>
      </c>
      <c r="H412" s="7">
        <f t="shared" si="134"/>
        <v>89.945115728311393</v>
      </c>
    </row>
    <row r="413" spans="1:8" x14ac:dyDescent="0.25">
      <c r="A413" s="6">
        <v>45812</v>
      </c>
      <c r="B413">
        <v>370</v>
      </c>
      <c r="C413">
        <f>+VLOOKUP(A413,'Undivideable Expenses'!$U$4:$W$66,3,0)</f>
        <v>14754.875</v>
      </c>
      <c r="D413">
        <f t="shared" si="133"/>
        <v>2.5076457780902923</v>
      </c>
      <c r="G413" s="12">
        <f>+VLOOKUP(A413,'Undivideable Expenses'!$U$4:$V$66,2,0)</f>
        <v>1705.9112280701754</v>
      </c>
      <c r="H413" s="7">
        <f t="shared" si="134"/>
        <v>42.77821088867001</v>
      </c>
    </row>
    <row r="414" spans="1:8" x14ac:dyDescent="0.25">
      <c r="A414" s="6">
        <v>45814</v>
      </c>
      <c r="B414">
        <v>370</v>
      </c>
      <c r="C414">
        <f>+VLOOKUP(A414,'Undivideable Expenses'!$U$4:$W$66,3,0)</f>
        <v>14275</v>
      </c>
      <c r="D414">
        <f t="shared" si="133"/>
        <v>2.5919439579684767</v>
      </c>
      <c r="G414" s="12">
        <f>+VLOOKUP(A414,'Undivideable Expenses'!$U$4:$V$66,2,0)</f>
        <v>1570.6645614035087</v>
      </c>
      <c r="H414" s="7">
        <f t="shared" si="134"/>
        <v>40.710745199250319</v>
      </c>
    </row>
    <row r="415" spans="1:8" x14ac:dyDescent="0.25">
      <c r="A415" s="6">
        <v>45815</v>
      </c>
      <c r="B415">
        <v>370</v>
      </c>
      <c r="C415">
        <f>+VLOOKUP(A415,'Undivideable Expenses'!$U$4:$W$66,3,0)</f>
        <v>8940</v>
      </c>
      <c r="D415">
        <f t="shared" si="133"/>
        <v>4.1387024608501122</v>
      </c>
      <c r="G415" s="12">
        <f>+VLOOKUP(A415,'Undivideable Expenses'!$U$4:$V$66,2,0)</f>
        <v>1295.1542105263159</v>
      </c>
      <c r="H415" s="7">
        <f t="shared" si="134"/>
        <v>53.602579182856473</v>
      </c>
    </row>
    <row r="416" spans="1:8" x14ac:dyDescent="0.25">
      <c r="A416" s="6">
        <v>45817</v>
      </c>
      <c r="B416">
        <v>507.5</v>
      </c>
      <c r="C416">
        <f>+VLOOKUP(A416,'Undivideable Expenses'!$U$4:$W$66,3,0)</f>
        <v>10164.625</v>
      </c>
      <c r="D416">
        <f t="shared" si="133"/>
        <v>4.9928059323388716</v>
      </c>
      <c r="G416" s="12">
        <f>+VLOOKUP(A416,'Undivideable Expenses'!$U$4:$V$66,2,0)</f>
        <v>564.77192982456143</v>
      </c>
      <c r="H416" s="7">
        <f t="shared" si="134"/>
        <v>28.197966416465434</v>
      </c>
    </row>
    <row r="417" spans="1:8" x14ac:dyDescent="0.25">
      <c r="A417" s="6">
        <v>45818</v>
      </c>
      <c r="B417">
        <v>785</v>
      </c>
      <c r="C417">
        <f>+VLOOKUP(A417,'Undivideable Expenses'!$U$4:$W$66,3,0)</f>
        <v>15683</v>
      </c>
      <c r="D417">
        <f t="shared" si="133"/>
        <v>5.0054198814002424</v>
      </c>
      <c r="G417" s="12">
        <f>+VLOOKUP(A417,'Undivideable Expenses'!$U$4:$V$66,2,0)</f>
        <v>1423.4597368421053</v>
      </c>
      <c r="H417" s="7">
        <f t="shared" si="134"/>
        <v>71.250136671622315</v>
      </c>
    </row>
    <row r="418" spans="1:8" x14ac:dyDescent="0.25">
      <c r="A418" s="6">
        <v>45819</v>
      </c>
      <c r="B418">
        <v>1215</v>
      </c>
      <c r="C418">
        <f>+VLOOKUP(A418,'Undivideable Expenses'!$U$4:$W$66,3,0)</f>
        <v>15689</v>
      </c>
      <c r="D418">
        <f t="shared" si="133"/>
        <v>7.7442794314487866</v>
      </c>
      <c r="G418" s="12">
        <f>+VLOOKUP(A418,'Undivideable Expenses'!$U$4:$V$66,2,0)</f>
        <v>1713.848245614035</v>
      </c>
      <c r="H418" s="7">
        <f t="shared" si="134"/>
        <v>132.7251971713336</v>
      </c>
    </row>
    <row r="419" spans="1:8" x14ac:dyDescent="0.25">
      <c r="A419" s="6">
        <v>45820</v>
      </c>
      <c r="B419">
        <v>2877.5</v>
      </c>
      <c r="C419">
        <f>+VLOOKUP(A419,'Undivideable Expenses'!$U$4:$W$66,3,0)</f>
        <v>16051</v>
      </c>
      <c r="D419">
        <f t="shared" si="133"/>
        <v>17.927231948165222</v>
      </c>
      <c r="G419" s="12">
        <f>+VLOOKUP(A419,'Undivideable Expenses'!$U$4:$V$66,2,0)</f>
        <v>1701.6620175438597</v>
      </c>
      <c r="H419" s="7">
        <f t="shared" si="134"/>
        <v>305.06089685891567</v>
      </c>
    </row>
    <row r="420" spans="1:8" x14ac:dyDescent="0.25">
      <c r="A420" s="6">
        <v>45821</v>
      </c>
      <c r="B420">
        <v>3803.75</v>
      </c>
      <c r="C420">
        <f>+VLOOKUP(A420,'Undivideable Expenses'!$U$4:$W$66,3,0)</f>
        <v>15404</v>
      </c>
      <c r="D420">
        <f t="shared" si="133"/>
        <v>24.693261490521941</v>
      </c>
      <c r="G420" s="12">
        <f>+VLOOKUP(A420,'Undivideable Expenses'!$U$4:$V$66,2,0)</f>
        <v>1709.5990350877196</v>
      </c>
      <c r="H420" s="7">
        <f t="shared" si="134"/>
        <v>422.15576017365049</v>
      </c>
    </row>
    <row r="421" spans="1:8" x14ac:dyDescent="0.25">
      <c r="A421" s="6">
        <v>45822</v>
      </c>
      <c r="B421">
        <v>3886.25</v>
      </c>
      <c r="C421">
        <f>+VLOOKUP(A421,'Undivideable Expenses'!$U$4:$W$66,3,0)</f>
        <v>15220.125</v>
      </c>
      <c r="D421">
        <f t="shared" si="133"/>
        <v>25.533627351943561</v>
      </c>
      <c r="G421" s="12">
        <f>+VLOOKUP(A421,'Undivideable Expenses'!$U$4:$V$66,2,0)</f>
        <v>1708.1826315789476</v>
      </c>
      <c r="H421" s="7">
        <f t="shared" si="134"/>
        <v>436.16098763799152</v>
      </c>
    </row>
    <row r="422" spans="1:8" x14ac:dyDescent="0.25">
      <c r="A422" s="6">
        <v>45823</v>
      </c>
      <c r="B422">
        <v>823.33333333333337</v>
      </c>
      <c r="C422">
        <f>+VLOOKUP(A422,'Undivideable Expenses'!$U$4:$W$66,3,0)</f>
        <v>12830</v>
      </c>
      <c r="D422">
        <f t="shared" si="133"/>
        <v>6.4172512340867769</v>
      </c>
      <c r="G422" s="12">
        <f>+VLOOKUP(A422,'Undivideable Expenses'!$U$4:$V$66,2,0)</f>
        <v>2760.5034210526314</v>
      </c>
      <c r="H422" s="7">
        <f t="shared" si="134"/>
        <v>177.14843985450767</v>
      </c>
    </row>
    <row r="423" spans="1:8" x14ac:dyDescent="0.25">
      <c r="A423" s="6">
        <v>45825</v>
      </c>
      <c r="B423">
        <v>371.25</v>
      </c>
      <c r="C423">
        <f>+VLOOKUP(A423,'Undivideable Expenses'!$U$4:$W$66,3,0)</f>
        <v>17215</v>
      </c>
      <c r="D423">
        <f t="shared" si="133"/>
        <v>2.1565495207667729</v>
      </c>
      <c r="G423" s="12">
        <f>+VLOOKUP(A423,'Undivideable Expenses'!$U$4:$V$66,2,0)</f>
        <v>1704.2012280701756</v>
      </c>
      <c r="H423" s="7">
        <f t="shared" si="134"/>
        <v>36.751943416848825</v>
      </c>
    </row>
    <row r="424" spans="1:8" x14ac:dyDescent="0.25">
      <c r="A424" s="6">
        <v>45826</v>
      </c>
      <c r="B424">
        <v>540</v>
      </c>
      <c r="C424">
        <f>+VLOOKUP(A424,'Undivideable Expenses'!$U$4:$W$66,3,0)</f>
        <v>17368</v>
      </c>
      <c r="D424">
        <f t="shared" si="133"/>
        <v>3.1091662828189772</v>
      </c>
      <c r="G424" s="12">
        <f>+VLOOKUP(A424,'Undivideable Expenses'!$U$4:$V$66,2,0)</f>
        <v>1640.1952631578947</v>
      </c>
      <c r="H424" s="7">
        <f t="shared" si="134"/>
        <v>50.996398094499256</v>
      </c>
    </row>
    <row r="425" spans="1:8" x14ac:dyDescent="0.25">
      <c r="A425" s="6">
        <v>45827</v>
      </c>
      <c r="B425">
        <v>551.25</v>
      </c>
      <c r="C425">
        <f>+VLOOKUP(A425,'Undivideable Expenses'!$U$4:$W$66,3,0)</f>
        <v>17939.75</v>
      </c>
      <c r="D425">
        <f t="shared" si="133"/>
        <v>3.0727852952242922</v>
      </c>
      <c r="G425" s="12">
        <f>+VLOOKUP(A425,'Undivideable Expenses'!$U$4:$V$66,2,0)</f>
        <v>1699.6842105263158</v>
      </c>
      <c r="H425" s="7">
        <f t="shared" si="134"/>
        <v>52.227646486301737</v>
      </c>
    </row>
    <row r="426" spans="1:8" x14ac:dyDescent="0.25">
      <c r="A426" s="6">
        <v>45831</v>
      </c>
      <c r="B426">
        <v>237.5</v>
      </c>
      <c r="C426">
        <v>20000</v>
      </c>
      <c r="D426">
        <f t="shared" si="133"/>
        <v>1.1875</v>
      </c>
      <c r="G426" s="12">
        <f>+VLOOKUP(A426,'Undivideable Expenses'!$U$4:$V$66,2,0)</f>
        <v>1720.4204385964913</v>
      </c>
      <c r="H426" s="7">
        <f t="shared" si="134"/>
        <v>20.429992708333337</v>
      </c>
    </row>
    <row r="427" spans="1:8" x14ac:dyDescent="0.25">
      <c r="A427" s="6">
        <v>45832</v>
      </c>
      <c r="B427">
        <v>237.5</v>
      </c>
      <c r="C427">
        <v>20000</v>
      </c>
      <c r="D427">
        <f t="shared" si="133"/>
        <v>1.1875</v>
      </c>
      <c r="G427" s="12">
        <f>+VLOOKUP(A427,'Undivideable Expenses'!$U$4:$V$66,2,0)</f>
        <v>1720.662456140351</v>
      </c>
      <c r="H427" s="7">
        <f t="shared" si="134"/>
        <v>20.432866666666666</v>
      </c>
    </row>
    <row r="429" spans="1:8" x14ac:dyDescent="0.25">
      <c r="A429" s="11" t="s">
        <v>79</v>
      </c>
    </row>
    <row r="430" spans="1:8" x14ac:dyDescent="0.25">
      <c r="A430" s="8" t="s">
        <v>6</v>
      </c>
      <c r="B430" s="8" t="s">
        <v>80</v>
      </c>
      <c r="C430" s="22" t="s">
        <v>50</v>
      </c>
      <c r="D430" s="22" t="s">
        <v>9</v>
      </c>
    </row>
    <row r="431" spans="1:8" x14ac:dyDescent="0.25">
      <c r="A431" s="6">
        <v>45741</v>
      </c>
      <c r="B431">
        <v>2410</v>
      </c>
      <c r="C431">
        <v>16337</v>
      </c>
      <c r="D431">
        <f t="shared" ref="D431" si="135">+B431/C431*100</f>
        <v>14.751790414396767</v>
      </c>
      <c r="G431" s="12">
        <v>1000</v>
      </c>
      <c r="H431">
        <f t="shared" ref="H431:H432" si="136">+G431/100*D431</f>
        <v>147.51790414396768</v>
      </c>
    </row>
    <row r="432" spans="1:8" x14ac:dyDescent="0.25">
      <c r="A432" s="6">
        <v>45742</v>
      </c>
      <c r="B432">
        <v>4461.25</v>
      </c>
      <c r="C432">
        <v>15953.25</v>
      </c>
      <c r="D432">
        <f t="shared" ref="D432:D448" si="137">+B432/C432*100</f>
        <v>27.964521335777974</v>
      </c>
      <c r="G432" s="12">
        <v>1000</v>
      </c>
      <c r="H432">
        <f t="shared" si="136"/>
        <v>279.64521335777977</v>
      </c>
    </row>
    <row r="433" spans="1:8" x14ac:dyDescent="0.25">
      <c r="A433" s="6">
        <v>45743</v>
      </c>
      <c r="B433">
        <v>5451.25</v>
      </c>
      <c r="C433">
        <v>15908.25</v>
      </c>
      <c r="D433">
        <f t="shared" si="137"/>
        <v>34.266811245737273</v>
      </c>
      <c r="G433" s="12">
        <v>1000</v>
      </c>
      <c r="H433">
        <f t="shared" ref="H433:H448" si="138">+G433/100*D433</f>
        <v>342.66811245737273</v>
      </c>
    </row>
    <row r="434" spans="1:8" x14ac:dyDescent="0.25">
      <c r="A434" s="6">
        <v>45744</v>
      </c>
      <c r="B434">
        <v>5061.25</v>
      </c>
      <c r="C434">
        <v>7584.75</v>
      </c>
      <c r="D434">
        <f t="shared" si="137"/>
        <v>66.729292330004284</v>
      </c>
      <c r="G434" s="12">
        <v>1000</v>
      </c>
      <c r="H434">
        <f t="shared" si="138"/>
        <v>667.29292330004284</v>
      </c>
    </row>
    <row r="435" spans="1:8" x14ac:dyDescent="0.25">
      <c r="A435" s="6">
        <v>45745</v>
      </c>
      <c r="B435">
        <v>8502.5</v>
      </c>
      <c r="C435">
        <v>12632.25</v>
      </c>
      <c r="D435">
        <f t="shared" si="137"/>
        <v>67.307882602070094</v>
      </c>
      <c r="G435" s="12">
        <v>1000</v>
      </c>
      <c r="H435">
        <f t="shared" si="138"/>
        <v>673.07882602070094</v>
      </c>
    </row>
    <row r="436" spans="1:8" x14ac:dyDescent="0.25">
      <c r="A436" s="6">
        <v>45748</v>
      </c>
      <c r="B436">
        <f>8730+531</f>
        <v>9261</v>
      </c>
      <c r="C436">
        <v>16626.75</v>
      </c>
      <c r="D436">
        <f t="shared" si="137"/>
        <v>55.699400063151252</v>
      </c>
      <c r="G436" s="12">
        <v>1000</v>
      </c>
      <c r="H436">
        <f t="shared" si="138"/>
        <v>556.99400063151256</v>
      </c>
    </row>
    <row r="437" spans="1:8" x14ac:dyDescent="0.25">
      <c r="A437" s="6">
        <v>45749</v>
      </c>
      <c r="B437">
        <f>2816.25+437</f>
        <v>3253.25</v>
      </c>
      <c r="C437">
        <v>16297</v>
      </c>
      <c r="D437">
        <f t="shared" si="137"/>
        <v>19.962262993188933</v>
      </c>
      <c r="G437" s="12">
        <v>1000</v>
      </c>
      <c r="H437">
        <f t="shared" si="138"/>
        <v>199.62262993188932</v>
      </c>
    </row>
    <row r="438" spans="1:8" x14ac:dyDescent="0.25">
      <c r="A438" s="6">
        <v>45750</v>
      </c>
      <c r="B438">
        <v>57.5</v>
      </c>
      <c r="C438">
        <v>17812.25</v>
      </c>
      <c r="D438">
        <f t="shared" si="137"/>
        <v>0.32281154823225588</v>
      </c>
      <c r="G438" s="12">
        <v>1000</v>
      </c>
      <c r="H438">
        <f t="shared" si="138"/>
        <v>3.2281154823225586</v>
      </c>
    </row>
    <row r="439" spans="1:8" x14ac:dyDescent="0.25">
      <c r="A439" s="6">
        <v>45754</v>
      </c>
      <c r="B439">
        <v>250</v>
      </c>
      <c r="C439">
        <v>20359.388888888891</v>
      </c>
      <c r="D439">
        <f t="shared" si="137"/>
        <v>1.2279346957041386</v>
      </c>
      <c r="G439" s="12">
        <v>1000</v>
      </c>
      <c r="H439">
        <f t="shared" si="138"/>
        <v>12.279346957041387</v>
      </c>
    </row>
    <row r="440" spans="1:8" x14ac:dyDescent="0.25">
      <c r="A440" s="6">
        <v>45776</v>
      </c>
      <c r="B440">
        <v>460</v>
      </c>
      <c r="C440">
        <v>18555.375</v>
      </c>
      <c r="D440">
        <f t="shared" si="137"/>
        <v>2.4790660388162458</v>
      </c>
      <c r="G440" s="12">
        <v>1000</v>
      </c>
      <c r="H440">
        <f t="shared" si="138"/>
        <v>24.790660388162458</v>
      </c>
    </row>
    <row r="441" spans="1:8" x14ac:dyDescent="0.25">
      <c r="A441" s="6">
        <v>45823</v>
      </c>
      <c r="B441">
        <v>980.00000000000011</v>
      </c>
      <c r="C441">
        <f>+VLOOKUP(A441,'Undivideable Expenses'!$U$4:$W$66,3,0)</f>
        <v>12830</v>
      </c>
      <c r="D441">
        <f t="shared" si="137"/>
        <v>7.6383476227591593</v>
      </c>
      <c r="G441" s="12">
        <f>+VLOOKUP(A441,'Undivideable Expenses'!$U$4:$V$66,2,0)</f>
        <v>2760.5034210526314</v>
      </c>
      <c r="H441">
        <f t="shared" si="138"/>
        <v>210.85684743815892</v>
      </c>
    </row>
    <row r="442" spans="1:8" x14ac:dyDescent="0.25">
      <c r="A442" s="6">
        <v>45824</v>
      </c>
      <c r="B442">
        <v>1361.25</v>
      </c>
      <c r="C442">
        <f>+VLOOKUP(A442,'Undivideable Expenses'!$U$4:$W$66,3,0)</f>
        <v>14681</v>
      </c>
      <c r="D442">
        <f t="shared" si="137"/>
        <v>9.2721885430147815</v>
      </c>
      <c r="G442" s="12">
        <f>+VLOOKUP(A442,'Undivideable Expenses'!$U$4:$V$66,2,0)</f>
        <v>1640.1952631578947</v>
      </c>
      <c r="H442">
        <f t="shared" si="138"/>
        <v>152.08199727359747</v>
      </c>
    </row>
    <row r="443" spans="1:8" x14ac:dyDescent="0.25">
      <c r="A443" s="6">
        <v>45825</v>
      </c>
      <c r="B443">
        <v>990</v>
      </c>
      <c r="C443">
        <f>+VLOOKUP(A443,'Undivideable Expenses'!$U$4:$W$66,3,0)</f>
        <v>17215</v>
      </c>
      <c r="D443">
        <f t="shared" si="137"/>
        <v>5.7507987220447285</v>
      </c>
      <c r="G443" s="12">
        <f>+VLOOKUP(A443,'Undivideable Expenses'!$U$4:$V$66,2,0)</f>
        <v>1704.2012280701756</v>
      </c>
      <c r="H443">
        <f t="shared" si="138"/>
        <v>98.005182444930227</v>
      </c>
    </row>
    <row r="444" spans="1:8" x14ac:dyDescent="0.25">
      <c r="A444" s="6">
        <v>45831</v>
      </c>
      <c r="B444">
        <v>980</v>
      </c>
      <c r="C444">
        <v>17404.5</v>
      </c>
      <c r="D444">
        <f t="shared" si="137"/>
        <v>5.6307276853687265</v>
      </c>
      <c r="G444" s="12">
        <f>+VLOOKUP(A444,'Undivideable Expenses'!$U$4:$V$66,2,0)</f>
        <v>1720.4204385964913</v>
      </c>
      <c r="H444">
        <f t="shared" si="138"/>
        <v>96.872189940794712</v>
      </c>
    </row>
    <row r="445" spans="1:8" x14ac:dyDescent="0.25">
      <c r="A445" s="6">
        <v>45832</v>
      </c>
      <c r="B445">
        <v>980</v>
      </c>
      <c r="C445">
        <v>13703.75</v>
      </c>
      <c r="D445">
        <f t="shared" si="137"/>
        <v>7.1513271914621912</v>
      </c>
      <c r="G445" s="12">
        <f>+VLOOKUP(A445,'Undivideable Expenses'!$U$4:$V$66,2,0)</f>
        <v>1720.662456140351</v>
      </c>
      <c r="H445">
        <f t="shared" si="138"/>
        <v>123.05020209924611</v>
      </c>
    </row>
    <row r="446" spans="1:8" x14ac:dyDescent="0.25">
      <c r="A446" s="6">
        <v>45833</v>
      </c>
      <c r="B446">
        <v>172.5</v>
      </c>
      <c r="C446">
        <v>10000</v>
      </c>
      <c r="D446">
        <f t="shared" si="137"/>
        <v>1.7250000000000001</v>
      </c>
      <c r="G446" s="12">
        <f>+VLOOKUP(A446,'Undivideable Expenses'!$U$4:$V$66,2,0)</f>
        <v>1712.4318421052631</v>
      </c>
      <c r="H446">
        <f t="shared" si="138"/>
        <v>29.539449276315793</v>
      </c>
    </row>
    <row r="447" spans="1:8" x14ac:dyDescent="0.25">
      <c r="A447" s="6">
        <v>45834</v>
      </c>
      <c r="B447">
        <v>172.5</v>
      </c>
      <c r="C447">
        <v>10873</v>
      </c>
      <c r="D447">
        <f t="shared" si="137"/>
        <v>1.5864986664214109</v>
      </c>
      <c r="G447" s="12">
        <f>+VLOOKUP(A447,'Undivideable Expenses'!$U$4:$V$66,2,0)</f>
        <v>1734.800701754386</v>
      </c>
      <c r="H447">
        <f t="shared" si="138"/>
        <v>27.522589998402612</v>
      </c>
    </row>
    <row r="448" spans="1:8" x14ac:dyDescent="0.25">
      <c r="A448" s="6">
        <v>45835</v>
      </c>
      <c r="B448">
        <v>172.5</v>
      </c>
      <c r="C448">
        <v>9041.875</v>
      </c>
      <c r="D448">
        <f t="shared" si="137"/>
        <v>1.9077901430842605</v>
      </c>
      <c r="G448" s="12">
        <f>+VLOOKUP(A448,'Undivideable Expenses'!$U$4:$V$66,2,0)</f>
        <v>1245.8914912280702</v>
      </c>
      <c r="H448">
        <f t="shared" si="138"/>
        <v>23.768995063174629</v>
      </c>
    </row>
    <row r="451" spans="1:8" x14ac:dyDescent="0.25">
      <c r="A451" t="s">
        <v>81</v>
      </c>
    </row>
    <row r="452" spans="1:8" x14ac:dyDescent="0.25">
      <c r="A452" s="8" t="s">
        <v>6</v>
      </c>
      <c r="B452" s="8" t="s">
        <v>82</v>
      </c>
      <c r="C452" s="22" t="s">
        <v>50</v>
      </c>
      <c r="D452" s="22" t="s">
        <v>9</v>
      </c>
    </row>
    <row r="453" spans="1:8" x14ac:dyDescent="0.25">
      <c r="A453" s="6">
        <v>45765</v>
      </c>
      <c r="B453">
        <v>2320</v>
      </c>
      <c r="C453">
        <v>20366.25</v>
      </c>
      <c r="D453">
        <f t="shared" ref="D453" si="139">+B453/C453*100</f>
        <v>11.391395077640706</v>
      </c>
      <c r="G453" s="12">
        <v>1000</v>
      </c>
      <c r="H453">
        <f t="shared" ref="H453" si="140">+G453/100*D453</f>
        <v>113.91395077640706</v>
      </c>
    </row>
    <row r="454" spans="1:8" x14ac:dyDescent="0.25">
      <c r="A454" s="6">
        <v>45766</v>
      </c>
      <c r="B454">
        <v>760</v>
      </c>
      <c r="C454">
        <v>18159.875</v>
      </c>
      <c r="D454">
        <f t="shared" ref="D454:D471" si="141">+B454/C454*100</f>
        <v>4.1850508332243477</v>
      </c>
      <c r="G454" s="12">
        <v>1000</v>
      </c>
      <c r="H454">
        <f t="shared" ref="H454:H471" si="142">+G454/100*D454</f>
        <v>41.850508332243479</v>
      </c>
    </row>
    <row r="455" spans="1:8" x14ac:dyDescent="0.25">
      <c r="A455" s="6">
        <v>45767</v>
      </c>
      <c r="B455">
        <v>583.33333333333326</v>
      </c>
      <c r="C455">
        <v>14590</v>
      </c>
      <c r="D455">
        <f t="shared" si="141"/>
        <v>3.9981722641078363</v>
      </c>
      <c r="G455" s="12">
        <v>1000</v>
      </c>
      <c r="H455">
        <f t="shared" si="142"/>
        <v>39.981722641078363</v>
      </c>
    </row>
    <row r="456" spans="1:8" x14ac:dyDescent="0.25">
      <c r="A456" s="6">
        <v>45768</v>
      </c>
      <c r="B456">
        <v>2095</v>
      </c>
      <c r="C456">
        <v>19238.75</v>
      </c>
      <c r="D456">
        <f t="shared" si="141"/>
        <v>10.889480865440843</v>
      </c>
      <c r="G456" s="12">
        <v>1000</v>
      </c>
      <c r="H456">
        <f t="shared" si="142"/>
        <v>108.89480865440844</v>
      </c>
    </row>
    <row r="457" spans="1:8" x14ac:dyDescent="0.25">
      <c r="A457" s="6">
        <v>45769</v>
      </c>
      <c r="B457">
        <v>3246.25</v>
      </c>
      <c r="C457">
        <v>18949.25</v>
      </c>
      <c r="D457">
        <f t="shared" si="141"/>
        <v>17.131284879348787</v>
      </c>
      <c r="G457" s="12">
        <v>1000</v>
      </c>
      <c r="H457">
        <f t="shared" si="142"/>
        <v>171.31284879348786</v>
      </c>
    </row>
    <row r="458" spans="1:8" x14ac:dyDescent="0.25">
      <c r="A458" s="6">
        <v>45770</v>
      </c>
      <c r="B458">
        <v>4251.25</v>
      </c>
      <c r="C458">
        <v>20783</v>
      </c>
      <c r="D458">
        <f t="shared" si="141"/>
        <v>20.455420295433768</v>
      </c>
      <c r="G458" s="12">
        <v>1000</v>
      </c>
      <c r="H458">
        <f t="shared" si="142"/>
        <v>204.55420295433768</v>
      </c>
    </row>
    <row r="459" spans="1:8" x14ac:dyDescent="0.25">
      <c r="A459" s="6">
        <v>45771</v>
      </c>
      <c r="B459">
        <v>5856.25</v>
      </c>
      <c r="C459">
        <v>20494.25</v>
      </c>
      <c r="D459">
        <f t="shared" si="141"/>
        <v>28.575088134476744</v>
      </c>
      <c r="G459" s="12">
        <v>1000</v>
      </c>
      <c r="H459">
        <f t="shared" si="142"/>
        <v>285.75088134476744</v>
      </c>
    </row>
    <row r="460" spans="1:8" x14ac:dyDescent="0.25">
      <c r="A460" s="6">
        <v>45772</v>
      </c>
      <c r="B460">
        <v>2660</v>
      </c>
      <c r="C460">
        <v>20771</v>
      </c>
      <c r="D460">
        <f t="shared" si="141"/>
        <v>12.806316498964904</v>
      </c>
      <c r="G460" s="12">
        <v>1000</v>
      </c>
      <c r="H460">
        <f t="shared" si="142"/>
        <v>128.06316498964904</v>
      </c>
    </row>
    <row r="461" spans="1:8" x14ac:dyDescent="0.25">
      <c r="A461" s="6">
        <v>45773</v>
      </c>
      <c r="B461">
        <v>541.25</v>
      </c>
      <c r="C461">
        <v>14196</v>
      </c>
      <c r="D461">
        <f t="shared" si="141"/>
        <v>3.81269371653987</v>
      </c>
      <c r="G461" s="12">
        <v>1000</v>
      </c>
      <c r="H461">
        <f t="shared" si="142"/>
        <v>38.126937165398701</v>
      </c>
    </row>
    <row r="462" spans="1:8" x14ac:dyDescent="0.25">
      <c r="A462" s="6">
        <v>45775</v>
      </c>
      <c r="B462">
        <v>306.25</v>
      </c>
      <c r="C462">
        <v>18308.875</v>
      </c>
      <c r="D462">
        <f t="shared" si="141"/>
        <v>1.6726860607219178</v>
      </c>
      <c r="G462" s="12">
        <v>1000</v>
      </c>
      <c r="H462">
        <f t="shared" si="142"/>
        <v>16.72686060721918</v>
      </c>
    </row>
    <row r="463" spans="1:8" x14ac:dyDescent="0.25">
      <c r="A463" s="6">
        <v>45776</v>
      </c>
      <c r="B463">
        <v>300</v>
      </c>
      <c r="C463">
        <v>18555.375</v>
      </c>
      <c r="D463">
        <f t="shared" si="141"/>
        <v>1.6167821992279865</v>
      </c>
      <c r="G463" s="12">
        <v>1000</v>
      </c>
      <c r="H463">
        <f t="shared" si="142"/>
        <v>16.167821992279865</v>
      </c>
    </row>
    <row r="464" spans="1:8" x14ac:dyDescent="0.25">
      <c r="A464" s="6">
        <v>45777</v>
      </c>
      <c r="B464">
        <v>587.5</v>
      </c>
      <c r="C464">
        <v>20054.75</v>
      </c>
      <c r="D464">
        <f t="shared" si="141"/>
        <v>2.9294805470025804</v>
      </c>
      <c r="G464" s="12">
        <v>1000</v>
      </c>
      <c r="H464">
        <f t="shared" si="142"/>
        <v>29.294805470025803</v>
      </c>
    </row>
    <row r="465" spans="1:8" x14ac:dyDescent="0.25">
      <c r="A465" s="6">
        <v>45778</v>
      </c>
      <c r="B465">
        <v>176.25</v>
      </c>
      <c r="C465">
        <f>+VLOOKUP(A465,'Undivideable Expenses'!$U$4:$W$66,3,0)</f>
        <v>20405.75</v>
      </c>
      <c r="D465">
        <f t="shared" si="141"/>
        <v>0.86372713573380044</v>
      </c>
      <c r="G465" s="12">
        <f>+VLOOKUP(A465,'Undivideable Expenses'!$U$4:$V$66,2,0)</f>
        <v>1784.7421446519522</v>
      </c>
      <c r="H465">
        <f t="shared" si="142"/>
        <v>15.415302206236309</v>
      </c>
    </row>
    <row r="466" spans="1:8" x14ac:dyDescent="0.25">
      <c r="A466" s="6">
        <v>45784</v>
      </c>
      <c r="B466">
        <v>312.5</v>
      </c>
      <c r="C466">
        <f>+VLOOKUP(A466,'Undivideable Expenses'!$U$4:$W$66,3,0)</f>
        <v>16863.625</v>
      </c>
      <c r="D466">
        <f t="shared" si="141"/>
        <v>1.8531009791785575</v>
      </c>
      <c r="G466" s="12">
        <f>+VLOOKUP(A466,'Undivideable Expenses'!$U$4:$V$66,2,0)</f>
        <v>1698.3584149405774</v>
      </c>
      <c r="H466">
        <f t="shared" si="142"/>
        <v>31.472296417225273</v>
      </c>
    </row>
    <row r="467" spans="1:8" x14ac:dyDescent="0.25">
      <c r="A467" s="6">
        <v>45785</v>
      </c>
      <c r="B467">
        <v>250</v>
      </c>
      <c r="C467">
        <f>+VLOOKUP(A467,'Undivideable Expenses'!$U$4:$W$66,3,0)</f>
        <v>16241.5</v>
      </c>
      <c r="D467">
        <f t="shared" si="141"/>
        <v>1.5392666933472894</v>
      </c>
      <c r="G467" s="12">
        <f>+VLOOKUP(A467,'Undivideable Expenses'!$U$4:$V$66,2,0)</f>
        <v>1684.9805867572156</v>
      </c>
      <c r="H467">
        <f t="shared" si="142"/>
        <v>25.936344961321549</v>
      </c>
    </row>
    <row r="468" spans="1:8" x14ac:dyDescent="0.25">
      <c r="A468" s="6">
        <v>45821</v>
      </c>
      <c r="B468">
        <v>230</v>
      </c>
      <c r="C468">
        <f>+VLOOKUP(A468,'Undivideable Expenses'!$U$4:$W$66,3,0)</f>
        <v>15404</v>
      </c>
      <c r="D468">
        <f t="shared" si="141"/>
        <v>1.4931186704752013</v>
      </c>
      <c r="G468" s="12">
        <f>+VLOOKUP(A468,'Undivideable Expenses'!$U$4:$V$66,2,0)</f>
        <v>1709.5990350877196</v>
      </c>
      <c r="H468">
        <f t="shared" si="142"/>
        <v>25.526342383158628</v>
      </c>
    </row>
    <row r="469" spans="1:8" x14ac:dyDescent="0.25">
      <c r="A469" s="6">
        <v>45822</v>
      </c>
      <c r="B469">
        <v>230</v>
      </c>
      <c r="C469">
        <f>+VLOOKUP(A469,'Undivideable Expenses'!$U$4:$W$66,3,0)</f>
        <v>15220.125</v>
      </c>
      <c r="D469">
        <f t="shared" si="141"/>
        <v>1.5111571028490238</v>
      </c>
      <c r="G469" s="12">
        <f>+VLOOKUP(A469,'Undivideable Expenses'!$U$4:$V$66,2,0)</f>
        <v>1708.1826315789476</v>
      </c>
      <c r="H469">
        <f t="shared" si="142"/>
        <v>25.813323166738641</v>
      </c>
    </row>
    <row r="470" spans="1:8" x14ac:dyDescent="0.25">
      <c r="A470" s="6">
        <v>45826</v>
      </c>
      <c r="B470">
        <v>115</v>
      </c>
      <c r="C470">
        <f>+VLOOKUP(A470,'Undivideable Expenses'!$U$4:$W$66,3,0)</f>
        <v>17368</v>
      </c>
      <c r="D470">
        <f t="shared" si="141"/>
        <v>0.66213726393367112</v>
      </c>
      <c r="G470" s="12">
        <f>+VLOOKUP(A470,'Undivideable Expenses'!$U$4:$V$66,2,0)</f>
        <v>1640.1952631578947</v>
      </c>
      <c r="H470">
        <f t="shared" si="142"/>
        <v>10.86034403864336</v>
      </c>
    </row>
    <row r="471" spans="1:8" x14ac:dyDescent="0.25">
      <c r="A471" s="6">
        <v>45827</v>
      </c>
      <c r="B471">
        <v>172.5</v>
      </c>
      <c r="C471">
        <f>+VLOOKUP(A471,'Undivideable Expenses'!$U$4:$W$66,3,0)</f>
        <v>17939.75</v>
      </c>
      <c r="D471">
        <f t="shared" si="141"/>
        <v>0.96155186109059487</v>
      </c>
      <c r="G471" s="12">
        <f>+VLOOKUP(A471,'Undivideable Expenses'!$U$4:$V$66,2,0)</f>
        <v>1699.6842105263158</v>
      </c>
      <c r="H471">
        <f t="shared" si="142"/>
        <v>16.343345158978774</v>
      </c>
    </row>
    <row r="474" spans="1:8" x14ac:dyDescent="0.25">
      <c r="A474" t="s">
        <v>83</v>
      </c>
    </row>
    <row r="475" spans="1:8" x14ac:dyDescent="0.25">
      <c r="A475" s="8" t="s">
        <v>6</v>
      </c>
      <c r="B475" s="8" t="s">
        <v>83</v>
      </c>
      <c r="C475" s="22" t="s">
        <v>50</v>
      </c>
      <c r="D475" s="22" t="s">
        <v>9</v>
      </c>
    </row>
    <row r="476" spans="1:8" x14ac:dyDescent="0.25">
      <c r="A476" s="6">
        <v>45880</v>
      </c>
      <c r="B476">
        <v>2830</v>
      </c>
      <c r="C476">
        <v>18302.25</v>
      </c>
      <c r="D476">
        <f t="shared" ref="D476:D488" si="143">+B476/C476*100</f>
        <v>15.462579737463972</v>
      </c>
      <c r="G476">
        <v>1798.2399999999998</v>
      </c>
      <c r="H476">
        <f t="shared" ref="H476:H488" si="144">+G476/100*D476</f>
        <v>278.05429387097212</v>
      </c>
    </row>
    <row r="477" spans="1:8" x14ac:dyDescent="0.25">
      <c r="A477" s="6">
        <v>45881</v>
      </c>
      <c r="B477">
        <v>3570</v>
      </c>
      <c r="C477">
        <v>26416.375</v>
      </c>
      <c r="D477">
        <f t="shared" si="143"/>
        <v>13.514344795604998</v>
      </c>
      <c r="G477">
        <v>4295.7400000000007</v>
      </c>
      <c r="H477">
        <f t="shared" si="144"/>
        <v>580.5411151227222</v>
      </c>
    </row>
    <row r="478" spans="1:8" x14ac:dyDescent="0.25">
      <c r="A478" s="6">
        <v>45882</v>
      </c>
      <c r="B478">
        <v>3500</v>
      </c>
      <c r="C478">
        <v>27378.5</v>
      </c>
      <c r="D478">
        <f t="shared" si="143"/>
        <v>12.783753675329182</v>
      </c>
      <c r="G478">
        <v>3957.21</v>
      </c>
      <c r="H478">
        <f t="shared" si="144"/>
        <v>505.87997881549393</v>
      </c>
    </row>
    <row r="479" spans="1:8" x14ac:dyDescent="0.25">
      <c r="A479" s="6">
        <v>45883</v>
      </c>
      <c r="B479">
        <v>4300</v>
      </c>
      <c r="C479">
        <v>27651</v>
      </c>
      <c r="D479">
        <f t="shared" si="143"/>
        <v>15.550974648294819</v>
      </c>
      <c r="G479">
        <v>4330.0099999999993</v>
      </c>
      <c r="H479">
        <f t="shared" si="144"/>
        <v>673.35875736863034</v>
      </c>
    </row>
    <row r="480" spans="1:8" x14ac:dyDescent="0.25">
      <c r="A480" s="6">
        <v>45884</v>
      </c>
      <c r="B480">
        <v>4700</v>
      </c>
      <c r="C480">
        <v>21750</v>
      </c>
      <c r="D480">
        <f t="shared" si="143"/>
        <v>21.609195402298852</v>
      </c>
      <c r="G480">
        <v>300</v>
      </c>
      <c r="H480">
        <f t="shared" si="144"/>
        <v>64.827586206896555</v>
      </c>
    </row>
    <row r="481" spans="1:8" x14ac:dyDescent="0.25">
      <c r="A481" s="6">
        <v>45885</v>
      </c>
      <c r="B481">
        <v>4950</v>
      </c>
      <c r="C481">
        <v>22060</v>
      </c>
      <c r="D481">
        <f t="shared" si="143"/>
        <v>22.438803263825928</v>
      </c>
      <c r="G481">
        <v>3645.1799999999994</v>
      </c>
      <c r="H481">
        <f t="shared" si="144"/>
        <v>817.93476881232982</v>
      </c>
    </row>
    <row r="482" spans="1:8" x14ac:dyDescent="0.25">
      <c r="A482" s="6">
        <v>45887</v>
      </c>
      <c r="B482">
        <v>3690</v>
      </c>
      <c r="C482">
        <v>25710.5</v>
      </c>
      <c r="D482">
        <f t="shared" si="143"/>
        <v>14.352112949962079</v>
      </c>
      <c r="G482">
        <v>4024.5600000000004</v>
      </c>
      <c r="H482">
        <f t="shared" si="144"/>
        <v>577.60939693899388</v>
      </c>
    </row>
    <row r="483" spans="1:8" x14ac:dyDescent="0.25">
      <c r="A483" s="6">
        <v>45888</v>
      </c>
      <c r="B483">
        <v>4060</v>
      </c>
      <c r="C483">
        <v>26863</v>
      </c>
      <c r="D483">
        <f t="shared" si="143"/>
        <v>15.113725198228046</v>
      </c>
      <c r="G483">
        <v>4637.76</v>
      </c>
      <c r="H483">
        <f t="shared" si="144"/>
        <v>700.93830175334108</v>
      </c>
    </row>
    <row r="484" spans="1:8" x14ac:dyDescent="0.25">
      <c r="A484" s="6">
        <v>45889</v>
      </c>
      <c r="B484">
        <v>2800</v>
      </c>
      <c r="C484">
        <v>24824.625</v>
      </c>
      <c r="D484">
        <f t="shared" si="143"/>
        <v>11.279123048183004</v>
      </c>
      <c r="G484">
        <v>4339.57</v>
      </c>
      <c r="H484">
        <f t="shared" si="144"/>
        <v>489.46544006203516</v>
      </c>
    </row>
    <row r="485" spans="1:8" x14ac:dyDescent="0.25">
      <c r="A485" s="6">
        <v>45890</v>
      </c>
      <c r="B485">
        <v>4270</v>
      </c>
      <c r="C485">
        <v>19920</v>
      </c>
      <c r="D485">
        <f t="shared" si="143"/>
        <v>21.435742971887549</v>
      </c>
      <c r="G485">
        <v>3383.0199999999995</v>
      </c>
      <c r="H485">
        <f t="shared" si="144"/>
        <v>725.17547188755009</v>
      </c>
    </row>
    <row r="486" spans="1:8" x14ac:dyDescent="0.25">
      <c r="A486" s="6">
        <v>45891</v>
      </c>
      <c r="B486">
        <v>5580</v>
      </c>
      <c r="C486">
        <v>21200</v>
      </c>
      <c r="D486">
        <f t="shared" si="143"/>
        <v>26.320754716981131</v>
      </c>
      <c r="G486">
        <v>3028.45</v>
      </c>
      <c r="H486">
        <f t="shared" si="144"/>
        <v>797.11089622641498</v>
      </c>
    </row>
    <row r="487" spans="1:8" x14ac:dyDescent="0.25">
      <c r="A487" s="6">
        <v>45892</v>
      </c>
      <c r="B487">
        <v>2270</v>
      </c>
      <c r="C487">
        <v>20249.375</v>
      </c>
      <c r="D487">
        <f t="shared" si="143"/>
        <v>11.210222537732646</v>
      </c>
      <c r="G487">
        <v>3656.3</v>
      </c>
      <c r="H487">
        <f t="shared" si="144"/>
        <v>409.87936664711879</v>
      </c>
    </row>
    <row r="488" spans="1:8" x14ac:dyDescent="0.25">
      <c r="A488" s="6">
        <v>45893</v>
      </c>
      <c r="B488">
        <v>1380</v>
      </c>
      <c r="C488">
        <v>15742.375</v>
      </c>
      <c r="D488">
        <f t="shared" si="143"/>
        <v>8.76614869103296</v>
      </c>
      <c r="G488">
        <v>3058.5</v>
      </c>
      <c r="H488">
        <f t="shared" si="144"/>
        <v>268.11265771524307</v>
      </c>
    </row>
    <row r="491" spans="1:8" x14ac:dyDescent="0.25">
      <c r="A491" s="8" t="s">
        <v>6</v>
      </c>
      <c r="B491" s="8" t="s">
        <v>56</v>
      </c>
      <c r="C491" s="22" t="s">
        <v>50</v>
      </c>
      <c r="D491" s="22" t="s">
        <v>9</v>
      </c>
    </row>
    <row r="492" spans="1:8" x14ac:dyDescent="0.25">
      <c r="A492" s="6">
        <v>45801</v>
      </c>
      <c r="B492" s="12">
        <v>1063.75</v>
      </c>
      <c r="C492">
        <f>+VLOOKUP(A492,'Undivideable Expenses'!$D$4:$W$34,20,0)</f>
        <v>13703.75</v>
      </c>
      <c r="D492">
        <f t="shared" ref="D492:D498" si="145">+B492/C492*100</f>
        <v>7.7624737754264341</v>
      </c>
      <c r="G492">
        <f>+VLOOKUP(A492,'Undivideable Expenses'!$D$4:$V$34,19,0)</f>
        <v>1368.6498254668929</v>
      </c>
      <c r="H492">
        <f t="shared" ref="H492:H498" si="146">+G492/100*D492</f>
        <v>106.24108377928722</v>
      </c>
    </row>
    <row r="493" spans="1:8" x14ac:dyDescent="0.25">
      <c r="A493" s="6">
        <v>45803</v>
      </c>
      <c r="B493" s="12">
        <v>3445</v>
      </c>
      <c r="C493">
        <f>+VLOOKUP(A493,'Undivideable Expenses'!$D$4:$W$34,20,0)</f>
        <v>10873</v>
      </c>
      <c r="D493">
        <f t="shared" si="145"/>
        <v>31.683987859836293</v>
      </c>
      <c r="G493">
        <f>+VLOOKUP(A493,'Undivideable Expenses'!$D$4:$V$34,19,0)</f>
        <v>1563.6584475382006</v>
      </c>
      <c r="H493">
        <f t="shared" si="146"/>
        <v>495.4293526873081</v>
      </c>
    </row>
    <row r="494" spans="1:8" x14ac:dyDescent="0.25">
      <c r="A494" s="6">
        <v>45804</v>
      </c>
      <c r="B494" s="12">
        <v>1457.5</v>
      </c>
      <c r="C494">
        <f>+VLOOKUP(A494,'Undivideable Expenses'!$D$4:$W$34,20,0)</f>
        <v>9041.875</v>
      </c>
      <c r="D494">
        <f t="shared" si="145"/>
        <v>16.11944425243658</v>
      </c>
      <c r="G494">
        <f>+VLOOKUP(A494,'Undivideable Expenses'!$D$4:$V$34,19,0)</f>
        <v>1366.272924957555</v>
      </c>
      <c r="H494">
        <f t="shared" si="146"/>
        <v>220.23560247466776</v>
      </c>
    </row>
    <row r="495" spans="1:8" x14ac:dyDescent="0.25">
      <c r="A495" s="6">
        <v>45805</v>
      </c>
      <c r="B495" s="12">
        <v>1622.5</v>
      </c>
      <c r="C495">
        <f>+VLOOKUP(A495,'Undivideable Expenses'!$D$4:$W$34,20,0)</f>
        <v>14867.75</v>
      </c>
      <c r="D495">
        <f t="shared" si="145"/>
        <v>10.912881908829513</v>
      </c>
      <c r="G495">
        <f>+VLOOKUP(A495,'Undivideable Expenses'!$D$4:$V$34,19,0)</f>
        <v>1758.8680095076402</v>
      </c>
      <c r="H495">
        <f t="shared" si="146"/>
        <v>191.94318880974905</v>
      </c>
    </row>
    <row r="496" spans="1:8" x14ac:dyDescent="0.25">
      <c r="A496" s="6">
        <v>45806</v>
      </c>
      <c r="B496" s="12">
        <v>1863.75</v>
      </c>
      <c r="C496">
        <f>+VLOOKUP(A496,'Undivideable Expenses'!$D$4:$W$34,20,0)</f>
        <v>16135</v>
      </c>
      <c r="D496">
        <f t="shared" si="145"/>
        <v>11.550976138828634</v>
      </c>
      <c r="G496">
        <f>+VLOOKUP(A496,'Undivideable Expenses'!$D$4:$V$34,19,0)</f>
        <v>1614.6939300509337</v>
      </c>
      <c r="H496">
        <f t="shared" si="146"/>
        <v>186.5129105752977</v>
      </c>
    </row>
    <row r="497" spans="1:8" x14ac:dyDescent="0.25">
      <c r="A497" s="6">
        <v>45807</v>
      </c>
      <c r="B497" s="12">
        <v>221.25</v>
      </c>
      <c r="C497">
        <f>+VLOOKUP(A497,'Undivideable Expenses'!$D$4:$W$34,20,0)</f>
        <v>16196</v>
      </c>
      <c r="D497">
        <f t="shared" si="145"/>
        <v>1.3660780439614721</v>
      </c>
      <c r="G497">
        <f>+VLOOKUP(A497,'Undivideable Expenses'!$D$4:$V$34,19,0)</f>
        <v>1765.2516631578947</v>
      </c>
      <c r="H497">
        <f t="shared" si="146"/>
        <v>24.114715391064724</v>
      </c>
    </row>
    <row r="498" spans="1:8" x14ac:dyDescent="0.25">
      <c r="A498" s="6">
        <v>45811</v>
      </c>
      <c r="B498" s="12">
        <v>615</v>
      </c>
      <c r="C498">
        <v>14801</v>
      </c>
      <c r="D498">
        <f t="shared" si="145"/>
        <v>4.1551246537396125</v>
      </c>
      <c r="G498">
        <v>1706</v>
      </c>
      <c r="H498">
        <f t="shared" si="146"/>
        <v>70.88642659279779</v>
      </c>
    </row>
    <row r="503" spans="1:8" x14ac:dyDescent="0.25">
      <c r="A503" t="s">
        <v>5</v>
      </c>
      <c r="B503" t="s">
        <v>5</v>
      </c>
      <c r="C503" t="s">
        <v>5</v>
      </c>
      <c r="D503" s="7" t="s">
        <v>5</v>
      </c>
    </row>
    <row r="505" spans="1:8" x14ac:dyDescent="0.25">
      <c r="A505" t="s">
        <v>84</v>
      </c>
    </row>
    <row r="506" spans="1:8" x14ac:dyDescent="0.25">
      <c r="A506" s="8" t="s">
        <v>6</v>
      </c>
      <c r="B506" s="8" t="s">
        <v>85</v>
      </c>
      <c r="C506" s="22" t="s">
        <v>50</v>
      </c>
      <c r="D506" s="22" t="s">
        <v>9</v>
      </c>
    </row>
    <row r="507" spans="1:8" x14ac:dyDescent="0.25">
      <c r="A507" s="6">
        <v>45790</v>
      </c>
      <c r="B507">
        <v>343.75</v>
      </c>
      <c r="C507">
        <f>+VLOOKUP(A507,'Undivideable Expenses'!$D$4:$W$34,20,0)</f>
        <v>13642.875</v>
      </c>
      <c r="D507" s="7">
        <f t="shared" ref="D507:D530" si="147">+B507/C507*100</f>
        <v>2.5196302099081023</v>
      </c>
      <c r="G507" s="12">
        <v>1135848896435</v>
      </c>
      <c r="H507">
        <f t="shared" ref="H507:H530" si="148">+G507/100*D507</f>
        <v>28619191933.484055</v>
      </c>
    </row>
    <row r="508" spans="1:8" x14ac:dyDescent="0.25">
      <c r="A508" s="6">
        <v>45791</v>
      </c>
      <c r="B508">
        <v>1888.75</v>
      </c>
      <c r="C508">
        <f>+VLOOKUP(A508,'Undivideable Expenses'!$D$4:$W$34,20,0)</f>
        <v>15322</v>
      </c>
      <c r="D508" s="7">
        <f t="shared" si="147"/>
        <v>12.32704607753557</v>
      </c>
      <c r="G508" s="12">
        <v>1104.7538200339559</v>
      </c>
      <c r="H508">
        <f t="shared" si="148"/>
        <v>136.18351243892013</v>
      </c>
    </row>
    <row r="509" spans="1:8" x14ac:dyDescent="0.25">
      <c r="A509" s="6">
        <v>45792</v>
      </c>
      <c r="B509">
        <v>2652.5</v>
      </c>
      <c r="C509">
        <f>+VLOOKUP(A509,'Undivideable Expenses'!$D$4:$W$34,20,0)</f>
        <v>15938</v>
      </c>
      <c r="D509" s="7">
        <f t="shared" si="147"/>
        <v>16.642615133642867</v>
      </c>
      <c r="G509" s="12">
        <v>1036.9100169779288</v>
      </c>
      <c r="H509">
        <f t="shared" si="148"/>
        <v>172.56894340782759</v>
      </c>
    </row>
    <row r="510" spans="1:8" x14ac:dyDescent="0.25">
      <c r="A510" s="6">
        <v>45793</v>
      </c>
      <c r="B510">
        <v>765</v>
      </c>
      <c r="C510">
        <f>+VLOOKUP(A510,'Undivideable Expenses'!$D$4:$W$34,20,0)</f>
        <v>12700</v>
      </c>
      <c r="D510" s="7">
        <f t="shared" si="147"/>
        <v>6.0236220472440944</v>
      </c>
      <c r="G510" s="12">
        <v>852.63157894736844</v>
      </c>
      <c r="H510">
        <f t="shared" si="148"/>
        <v>51.359303771239126</v>
      </c>
    </row>
    <row r="511" spans="1:8" x14ac:dyDescent="0.25">
      <c r="A511" s="6">
        <v>45794</v>
      </c>
      <c r="B511">
        <v>423.75</v>
      </c>
      <c r="C511">
        <f>+VLOOKUP(A511,'Undivideable Expenses'!$D$4:$W$34,20,0)</f>
        <v>15607</v>
      </c>
      <c r="D511" s="7">
        <f t="shared" si="147"/>
        <v>2.7151278272570001</v>
      </c>
      <c r="G511" s="12">
        <v>1690.2436685908319</v>
      </c>
      <c r="H511">
        <f t="shared" si="148"/>
        <v>45.892276194359269</v>
      </c>
    </row>
    <row r="512" spans="1:8" x14ac:dyDescent="0.25">
      <c r="A512" s="6">
        <v>45798</v>
      </c>
      <c r="B512">
        <v>633.75</v>
      </c>
      <c r="C512">
        <f>+VLOOKUP(A512,'Undivideable Expenses'!$D$4:$W$34,20,0)</f>
        <v>17514</v>
      </c>
      <c r="D512" s="7">
        <f t="shared" si="147"/>
        <v>3.6185337444330252</v>
      </c>
      <c r="G512" s="12">
        <v>1463.0125446519523</v>
      </c>
      <c r="H512">
        <f t="shared" si="148"/>
        <v>52.939602613519178</v>
      </c>
    </row>
    <row r="513" spans="1:8" x14ac:dyDescent="0.25">
      <c r="A513" s="6">
        <v>45811</v>
      </c>
      <c r="B513">
        <v>300</v>
      </c>
      <c r="C513">
        <f>+VLOOKUP(A513,'Undivideable Expenses'!$D$37:$W$66,20,0)</f>
        <v>14801</v>
      </c>
      <c r="D513" s="7">
        <f t="shared" si="147"/>
        <v>2.0268900749949328</v>
      </c>
      <c r="G513" s="12">
        <v>1706.7662280701757</v>
      </c>
      <c r="H513">
        <f t="shared" si="148"/>
        <v>34.594275280119767</v>
      </c>
    </row>
    <row r="514" spans="1:8" x14ac:dyDescent="0.25">
      <c r="A514" s="6">
        <v>45818</v>
      </c>
      <c r="B514">
        <v>125</v>
      </c>
      <c r="C514">
        <f>+VLOOKUP(A514,'Undivideable Expenses'!$D$37:$W$66,20,0)</f>
        <v>15683</v>
      </c>
      <c r="D514" s="7">
        <f t="shared" si="147"/>
        <v>0.79704138238857369</v>
      </c>
      <c r="G514" s="12">
        <v>1423.4597368421053</v>
      </c>
      <c r="H514">
        <f t="shared" si="148"/>
        <v>11.34556316427107</v>
      </c>
    </row>
    <row r="515" spans="1:8" x14ac:dyDescent="0.25">
      <c r="A515" s="6">
        <v>45819</v>
      </c>
      <c r="B515">
        <v>555</v>
      </c>
      <c r="C515">
        <f>+VLOOKUP(A515,'Undivideable Expenses'!$D$37:$W$66,20,0)</f>
        <v>15689</v>
      </c>
      <c r="D515" s="7">
        <f t="shared" si="147"/>
        <v>3.5375103575753712</v>
      </c>
      <c r="G515" s="12">
        <v>1713.848245614035</v>
      </c>
      <c r="H515">
        <f t="shared" si="148"/>
        <v>60.627559201720281</v>
      </c>
    </row>
    <row r="516" spans="1:8" x14ac:dyDescent="0.25">
      <c r="A516" s="6">
        <v>45820</v>
      </c>
      <c r="B516">
        <v>1050</v>
      </c>
      <c r="C516">
        <f>+VLOOKUP(A516,'Undivideable Expenses'!$D$37:$W$66,20,0)</f>
        <v>16051</v>
      </c>
      <c r="D516" s="7">
        <f t="shared" si="147"/>
        <v>6.541648495420846</v>
      </c>
      <c r="G516" s="12">
        <v>1701.6620175438597</v>
      </c>
      <c r="H516">
        <f t="shared" si="148"/>
        <v>111.31674776780591</v>
      </c>
    </row>
    <row r="517" spans="1:8" x14ac:dyDescent="0.25">
      <c r="A517" s="6">
        <v>45821</v>
      </c>
      <c r="B517">
        <v>427.5</v>
      </c>
      <c r="C517">
        <f>+VLOOKUP(A517,'Undivideable Expenses'!$D$37:$W$66,20,0)</f>
        <v>15404</v>
      </c>
      <c r="D517" s="7">
        <f t="shared" si="147"/>
        <v>2.7752531809919501</v>
      </c>
      <c r="G517" s="12">
        <v>1709.5990350877196</v>
      </c>
      <c r="H517">
        <f t="shared" si="148"/>
        <v>47.44570160347962</v>
      </c>
    </row>
    <row r="518" spans="1:8" x14ac:dyDescent="0.25">
      <c r="A518" s="6">
        <v>45822</v>
      </c>
      <c r="B518">
        <v>4057.5</v>
      </c>
      <c r="C518">
        <f>+VLOOKUP(A518,'Undivideable Expenses'!$D$37:$W$66,20,0)</f>
        <v>15220.125</v>
      </c>
      <c r="D518" s="7">
        <f t="shared" si="147"/>
        <v>26.658782368738759</v>
      </c>
      <c r="G518" s="12">
        <v>1708.1826315789476</v>
      </c>
      <c r="H518">
        <f t="shared" si="148"/>
        <v>455.38069021322627</v>
      </c>
    </row>
    <row r="519" spans="1:8" x14ac:dyDescent="0.25">
      <c r="A519" s="6">
        <v>45823</v>
      </c>
      <c r="B519">
        <v>5840</v>
      </c>
      <c r="C519">
        <f>+VLOOKUP(A519,'Undivideable Expenses'!$D$37:$W$66,20,0)</f>
        <v>12830</v>
      </c>
      <c r="D519" s="7">
        <f t="shared" si="147"/>
        <v>45.518316445830088</v>
      </c>
      <c r="G519" s="12">
        <v>2760.5034210526314</v>
      </c>
      <c r="H519">
        <f t="shared" si="148"/>
        <v>1256.5346826927021</v>
      </c>
    </row>
    <row r="520" spans="1:8" x14ac:dyDescent="0.25">
      <c r="A520" s="6">
        <v>45824</v>
      </c>
      <c r="B520">
        <v>5106.25</v>
      </c>
      <c r="C520">
        <f>+VLOOKUP(A520,'Undivideable Expenses'!$D$37:$W$66,20,0)</f>
        <v>14681</v>
      </c>
      <c r="D520" s="7">
        <f t="shared" si="147"/>
        <v>34.781350044274909</v>
      </c>
      <c r="G520" s="12">
        <v>1640.1952631578947</v>
      </c>
      <c r="H520">
        <f t="shared" si="148"/>
        <v>570.48205588856342</v>
      </c>
    </row>
    <row r="521" spans="1:8" x14ac:dyDescent="0.25">
      <c r="A521" s="6">
        <v>45825</v>
      </c>
      <c r="B521">
        <v>2378.75</v>
      </c>
      <c r="C521">
        <f>+VLOOKUP(A521,'Undivideable Expenses'!$D$37:$W$66,20,0)</f>
        <v>17215</v>
      </c>
      <c r="D521" s="7">
        <f t="shared" si="147"/>
        <v>13.817891373801917</v>
      </c>
      <c r="G521" s="12">
        <v>1704.2012280701756</v>
      </c>
      <c r="H521">
        <f t="shared" si="148"/>
        <v>235.4846744857351</v>
      </c>
    </row>
    <row r="522" spans="1:8" x14ac:dyDescent="0.25">
      <c r="A522" s="6">
        <v>45826</v>
      </c>
      <c r="B522">
        <v>3502.5</v>
      </c>
      <c r="C522">
        <f>+VLOOKUP(A522,'Undivideable Expenses'!$D$37:$W$66,20,0)</f>
        <v>17368</v>
      </c>
      <c r="D522" s="7">
        <f t="shared" si="147"/>
        <v>20.166397973284202</v>
      </c>
      <c r="G522" s="12">
        <v>1640.1952631578947</v>
      </c>
      <c r="H522">
        <f t="shared" si="148"/>
        <v>330.76830430737715</v>
      </c>
    </row>
    <row r="523" spans="1:8" x14ac:dyDescent="0.25">
      <c r="A523" s="6">
        <v>45827</v>
      </c>
      <c r="B523">
        <v>250</v>
      </c>
      <c r="C523">
        <f>+VLOOKUP(A523,'Undivideable Expenses'!$D$37:$W$66,20,0)</f>
        <v>17939.75</v>
      </c>
      <c r="D523" s="7">
        <f t="shared" si="147"/>
        <v>1.3935534218704275</v>
      </c>
      <c r="G523" s="12">
        <v>1699.6842105263158</v>
      </c>
      <c r="H523">
        <f t="shared" si="148"/>
        <v>23.686007476780837</v>
      </c>
    </row>
    <row r="524" spans="1:8" x14ac:dyDescent="0.25">
      <c r="A524" s="6">
        <v>45828</v>
      </c>
      <c r="B524">
        <v>1808.75</v>
      </c>
      <c r="C524">
        <f>+VLOOKUP(A524,'Undivideable Expenses'!$D$37:$W$66,20,0)</f>
        <v>18628</v>
      </c>
      <c r="D524" s="7">
        <f t="shared" si="147"/>
        <v>9.7098453940304914</v>
      </c>
      <c r="G524" s="12">
        <v>1703.9334210526317</v>
      </c>
      <c r="H524">
        <f t="shared" si="148"/>
        <v>165.44930080142512</v>
      </c>
    </row>
    <row r="525" spans="1:8" x14ac:dyDescent="0.25">
      <c r="A525" s="6">
        <v>45829</v>
      </c>
      <c r="B525">
        <v>567.5</v>
      </c>
      <c r="C525">
        <f>+VLOOKUP(A525,'Undivideable Expenses'!$D$37:$W$66,20,0)</f>
        <v>15640</v>
      </c>
      <c r="D525" s="7">
        <f t="shared" si="147"/>
        <v>3.6285166240409206</v>
      </c>
      <c r="G525" s="12">
        <v>1330.5642982456143</v>
      </c>
      <c r="H525">
        <f t="shared" si="148"/>
        <v>48.279746755395529</v>
      </c>
    </row>
    <row r="526" spans="1:8" x14ac:dyDescent="0.25">
      <c r="A526" s="6">
        <v>45831</v>
      </c>
      <c r="B526">
        <v>367.5</v>
      </c>
      <c r="C526">
        <f>+VLOOKUP(A526,'Undivideable Expenses'!$D$37:$W$66,20,0)</f>
        <v>19450</v>
      </c>
      <c r="D526" s="7">
        <f t="shared" si="147"/>
        <v>1.8894601542416452</v>
      </c>
      <c r="G526" s="12">
        <v>1720.4204385964913</v>
      </c>
      <c r="H526">
        <f t="shared" si="148"/>
        <v>32.506658672710053</v>
      </c>
    </row>
    <row r="527" spans="1:8" x14ac:dyDescent="0.25">
      <c r="A527" s="6">
        <v>45836</v>
      </c>
      <c r="B527">
        <v>287.5</v>
      </c>
      <c r="C527">
        <f>+VLOOKUP(A527,'Undivideable Expenses'!$D$37:$W$66,20,0)</f>
        <v>19172</v>
      </c>
      <c r="D527" s="7">
        <f t="shared" si="147"/>
        <v>1.4995827248070102</v>
      </c>
      <c r="G527" s="12">
        <v>1517.5414912280703</v>
      </c>
      <c r="H527">
        <f t="shared" si="148"/>
        <v>22.75679004423483</v>
      </c>
    </row>
    <row r="528" spans="1:8" x14ac:dyDescent="0.25">
      <c r="A528" s="6">
        <v>45837</v>
      </c>
      <c r="B528">
        <v>245</v>
      </c>
      <c r="C528">
        <f>+VLOOKUP(A528,'Undivideable Expenses'!$D$37:$W$66,20,0)</f>
        <v>13830.666666666666</v>
      </c>
      <c r="D528" s="7">
        <f t="shared" si="147"/>
        <v>1.7714258170249686</v>
      </c>
      <c r="G528" s="12">
        <v>2035.2533333333336</v>
      </c>
      <c r="H528">
        <f t="shared" si="148"/>
        <v>36.053002988527915</v>
      </c>
    </row>
    <row r="529" spans="1:8" x14ac:dyDescent="0.25">
      <c r="A529" s="6">
        <v>45839</v>
      </c>
      <c r="B529">
        <v>306.25</v>
      </c>
      <c r="C529">
        <v>19101</v>
      </c>
      <c r="D529" s="7">
        <f t="shared" si="147"/>
        <v>1.6033191979477515</v>
      </c>
      <c r="G529" s="12">
        <v>3171.12</v>
      </c>
      <c r="H529">
        <f t="shared" si="148"/>
        <v>50.843175749960736</v>
      </c>
    </row>
    <row r="530" spans="1:8" x14ac:dyDescent="0.25">
      <c r="A530" s="6">
        <v>45840</v>
      </c>
      <c r="B530">
        <v>245</v>
      </c>
      <c r="C530">
        <v>20220</v>
      </c>
      <c r="D530" s="7">
        <f t="shared" si="147"/>
        <v>1.2116716122650841</v>
      </c>
      <c r="G530" s="12">
        <v>3178.4300000000003</v>
      </c>
      <c r="H530">
        <f t="shared" si="148"/>
        <v>38.512134025717117</v>
      </c>
    </row>
    <row r="533" spans="1:8" x14ac:dyDescent="0.25">
      <c r="A533" s="11" t="s">
        <v>86</v>
      </c>
    </row>
    <row r="534" spans="1:8" x14ac:dyDescent="0.25">
      <c r="A534" s="8" t="s">
        <v>6</v>
      </c>
      <c r="B534" s="8" t="s">
        <v>87</v>
      </c>
      <c r="C534" s="22" t="s">
        <v>50</v>
      </c>
      <c r="D534" s="22" t="s">
        <v>9</v>
      </c>
    </row>
    <row r="535" spans="1:8" x14ac:dyDescent="0.25">
      <c r="A535" s="6">
        <v>45810</v>
      </c>
      <c r="B535">
        <v>3763.75</v>
      </c>
      <c r="C535">
        <f>+VLOOKUP(A535,'Undivideable Expenses'!$D$37:$W$66,20,0)</f>
        <v>15005</v>
      </c>
      <c r="D535" s="7">
        <f t="shared" ref="D535:D549" si="149">+B535/C535*100</f>
        <v>25.083305564811731</v>
      </c>
      <c r="G535" s="12">
        <f>+VLOOKUP(A535,'Undivideable Expenses'!$D$37:$V$66,19,0)</f>
        <v>1559.0913157894738</v>
      </c>
      <c r="H535" s="12">
        <f t="shared" ref="H535:H549" si="150">+G535/100*D535</f>
        <v>391.07163877391753</v>
      </c>
    </row>
    <row r="536" spans="1:8" x14ac:dyDescent="0.25">
      <c r="A536" s="6">
        <v>45811</v>
      </c>
      <c r="B536">
        <v>8722.5</v>
      </c>
      <c r="C536">
        <f>+VLOOKUP(A536,'Undivideable Expenses'!$D$37:$W$66,20,0)</f>
        <v>14801</v>
      </c>
      <c r="D536" s="7">
        <f t="shared" si="149"/>
        <v>58.931828930477671</v>
      </c>
      <c r="G536" s="12">
        <f>+VLOOKUP(A536,'Undivideable Expenses'!$D$37:$V$66,19,0)</f>
        <v>1706.7662280701757</v>
      </c>
      <c r="H536" s="12">
        <f t="shared" si="150"/>
        <v>1005.8285537694824</v>
      </c>
    </row>
    <row r="537" spans="1:8" x14ac:dyDescent="0.25">
      <c r="A537" s="6">
        <v>45812</v>
      </c>
      <c r="B537">
        <v>8497.5</v>
      </c>
      <c r="C537">
        <f>+VLOOKUP(A537,'Undivideable Expenses'!$D$37:$W$66,20,0)</f>
        <v>14754.875</v>
      </c>
      <c r="D537" s="7">
        <f t="shared" si="149"/>
        <v>57.591135133303396</v>
      </c>
      <c r="G537" s="12">
        <f>+VLOOKUP(A537,'Undivideable Expenses'!$D$37:$V$66,19,0)</f>
        <v>1705.9112280701754</v>
      </c>
      <c r="H537" s="12">
        <f t="shared" si="150"/>
        <v>982.45364061209023</v>
      </c>
    </row>
    <row r="538" spans="1:8" x14ac:dyDescent="0.25">
      <c r="A538" s="6">
        <v>45813</v>
      </c>
      <c r="B538">
        <v>5470</v>
      </c>
      <c r="C538">
        <f>+VLOOKUP(A538,'Undivideable Expenses'!$D$37:$W$66,20,0)</f>
        <v>13796</v>
      </c>
      <c r="D538" s="7">
        <f t="shared" si="149"/>
        <v>39.649173673528558</v>
      </c>
      <c r="G538" s="12">
        <f>+VLOOKUP(A538,'Undivideable Expenses'!$D$37:$V$66,19,0)</f>
        <v>1724.8858771929827</v>
      </c>
      <c r="H538" s="12">
        <f t="shared" si="150"/>
        <v>683.90299711841215</v>
      </c>
    </row>
    <row r="539" spans="1:8" x14ac:dyDescent="0.25">
      <c r="A539" s="6">
        <v>45814</v>
      </c>
      <c r="B539">
        <v>1456.25</v>
      </c>
      <c r="C539">
        <f>+VLOOKUP(A539,'Undivideable Expenses'!$D$37:$W$66,20,0)</f>
        <v>14275</v>
      </c>
      <c r="D539" s="7">
        <f t="shared" si="149"/>
        <v>10.201401050788091</v>
      </c>
      <c r="G539" s="12">
        <f>+VLOOKUP(A539,'Undivideable Expenses'!$D$37:$V$66,19,0)</f>
        <v>1570.6645614035087</v>
      </c>
      <c r="H539" s="12">
        <f t="shared" si="150"/>
        <v>160.22979107137371</v>
      </c>
    </row>
    <row r="540" spans="1:8" x14ac:dyDescent="0.25">
      <c r="A540" s="6">
        <v>45815</v>
      </c>
      <c r="B540">
        <v>342.5</v>
      </c>
      <c r="C540">
        <f>+VLOOKUP(A540,'Undivideable Expenses'!$D$37:$W$66,20,0)</f>
        <v>8940</v>
      </c>
      <c r="D540" s="7">
        <f t="shared" si="149"/>
        <v>3.8310961968680091</v>
      </c>
      <c r="G540" s="12">
        <f>+VLOOKUP(A540,'Undivideable Expenses'!$D$37:$V$66,19,0)</f>
        <v>1295.1542105263159</v>
      </c>
      <c r="H540" s="12">
        <f t="shared" si="150"/>
        <v>49.618603703049573</v>
      </c>
    </row>
    <row r="541" spans="1:8" x14ac:dyDescent="0.25">
      <c r="A541" s="6">
        <v>45818</v>
      </c>
      <c r="B541">
        <v>115</v>
      </c>
      <c r="C541">
        <f>+VLOOKUP(A541,'Undivideable Expenses'!$D$37:$W$66,20,0)</f>
        <v>15683</v>
      </c>
      <c r="D541" s="7">
        <f t="shared" si="149"/>
        <v>0.73327807179748772</v>
      </c>
      <c r="G541" s="12">
        <f>+VLOOKUP(A541,'Undivideable Expenses'!$D$37:$V$66,19,0)</f>
        <v>1423.4597368421053</v>
      </c>
      <c r="H541" s="12">
        <f t="shared" si="150"/>
        <v>10.437918111129383</v>
      </c>
    </row>
    <row r="542" spans="1:8" x14ac:dyDescent="0.25">
      <c r="A542" s="6">
        <v>45824</v>
      </c>
      <c r="B542">
        <v>345</v>
      </c>
      <c r="C542">
        <f>+VLOOKUP(A542,'Undivideable Expenses'!$D$37:$W$66,20,0)</f>
        <v>14681</v>
      </c>
      <c r="D542" s="7">
        <f t="shared" si="149"/>
        <v>2.3499761596621482</v>
      </c>
      <c r="G542" s="12">
        <f>+VLOOKUP(A542,'Undivideable Expenses'!$D$37:$V$66,19,0)</f>
        <v>1640.1952631578947</v>
      </c>
      <c r="H542" s="12">
        <f t="shared" si="150"/>
        <v>38.544197656118357</v>
      </c>
    </row>
    <row r="543" spans="1:8" x14ac:dyDescent="0.25">
      <c r="A543" s="6">
        <v>45825</v>
      </c>
      <c r="B543">
        <v>460</v>
      </c>
      <c r="C543">
        <f>+VLOOKUP(A543,'Undivideable Expenses'!$D$37:$W$66,20,0)</f>
        <v>17215</v>
      </c>
      <c r="D543" s="7">
        <f t="shared" si="149"/>
        <v>2.6720882950914899</v>
      </c>
      <c r="G543" s="12">
        <f>+VLOOKUP(A543,'Undivideable Expenses'!$D$37:$V$66,19,0)</f>
        <v>1704.2012280701756</v>
      </c>
      <c r="H543" s="12">
        <f t="shared" si="150"/>
        <v>45.537761540068587</v>
      </c>
    </row>
    <row r="544" spans="1:8" x14ac:dyDescent="0.25">
      <c r="A544" s="6">
        <v>45826</v>
      </c>
      <c r="B544">
        <v>115</v>
      </c>
      <c r="C544">
        <f>+VLOOKUP(A544,'Undivideable Expenses'!$D$37:$W$66,20,0)</f>
        <v>17368</v>
      </c>
      <c r="D544" s="7">
        <f t="shared" si="149"/>
        <v>0.66213726393367112</v>
      </c>
      <c r="G544" s="12">
        <f>+VLOOKUP(A544,'Undivideable Expenses'!$D$37:$V$66,19,0)</f>
        <v>1640.1952631578947</v>
      </c>
      <c r="H544" s="12">
        <f t="shared" si="150"/>
        <v>10.86034403864336</v>
      </c>
    </row>
    <row r="545" spans="1:8" x14ac:dyDescent="0.25">
      <c r="A545" s="6">
        <v>45827</v>
      </c>
      <c r="B545">
        <v>115</v>
      </c>
      <c r="C545">
        <f>+VLOOKUP(A545,'Undivideable Expenses'!$D$37:$W$66,20,0)</f>
        <v>17939.75</v>
      </c>
      <c r="D545" s="7">
        <f t="shared" si="149"/>
        <v>0.64103457406039654</v>
      </c>
      <c r="G545" s="12">
        <f>+VLOOKUP(A545,'Undivideable Expenses'!$D$37:$V$66,19,0)</f>
        <v>1699.6842105263158</v>
      </c>
      <c r="H545" s="12">
        <f t="shared" si="150"/>
        <v>10.895563439319183</v>
      </c>
    </row>
    <row r="546" spans="1:8" x14ac:dyDescent="0.25">
      <c r="A546" s="6">
        <v>45845</v>
      </c>
      <c r="B546">
        <v>172.5</v>
      </c>
      <c r="C546">
        <f>+VLOOKUP(A546,'Undivideable Expenses'!$D$70:$AF$100,25,0)</f>
        <v>19340.25</v>
      </c>
      <c r="D546" s="7">
        <f t="shared" si="149"/>
        <v>0.89192228642339166</v>
      </c>
      <c r="G546" s="12">
        <f>+VLOOKUP(A546,'Undivideable Expenses'!$D$70:$AA$100,24,0)</f>
        <v>3082.0699999999997</v>
      </c>
      <c r="H546" s="12">
        <f t="shared" si="150"/>
        <v>27.489669213169428</v>
      </c>
    </row>
    <row r="547" spans="1:8" x14ac:dyDescent="0.25">
      <c r="A547" s="6">
        <v>45849</v>
      </c>
      <c r="B547">
        <v>460</v>
      </c>
      <c r="C547">
        <f>+VLOOKUP(A547,'Undivideable Expenses'!$D$70:$AF$100,25,0)</f>
        <v>17028.75</v>
      </c>
      <c r="D547" s="7">
        <f t="shared" si="149"/>
        <v>2.7013139543419218</v>
      </c>
      <c r="G547" s="12">
        <f>+VLOOKUP(A547,'Undivideable Expenses'!$D$70:$AA$100,24,0)</f>
        <v>2724.78</v>
      </c>
      <c r="H547" s="12">
        <f t="shared" si="150"/>
        <v>73.604862365117825</v>
      </c>
    </row>
    <row r="548" spans="1:8" x14ac:dyDescent="0.25">
      <c r="A548" s="6">
        <v>45850</v>
      </c>
      <c r="B548">
        <v>632.5</v>
      </c>
      <c r="C548">
        <f>+VLOOKUP(A548,'Undivideable Expenses'!$D$70:$AF$100,25,0)</f>
        <v>21448</v>
      </c>
      <c r="D548" s="7">
        <f t="shared" si="149"/>
        <v>2.94899291309213</v>
      </c>
      <c r="G548" s="12">
        <f>+VLOOKUP(A548,'Undivideable Expenses'!$D$70:$AA$100,24,0)</f>
        <v>4271.17</v>
      </c>
      <c r="H548" s="12">
        <f t="shared" si="150"/>
        <v>125.95650060611713</v>
      </c>
    </row>
    <row r="549" spans="1:8" x14ac:dyDescent="0.25">
      <c r="A549" s="6">
        <v>45854</v>
      </c>
      <c r="B549">
        <v>287.5</v>
      </c>
      <c r="C549">
        <f>+VLOOKUP(A549,'Undivideable Expenses'!$D$70:$AF$100,25,0)</f>
        <v>19583.5</v>
      </c>
      <c r="D549" s="7">
        <f t="shared" si="149"/>
        <v>1.4680726121479817</v>
      </c>
      <c r="G549" s="12">
        <f>+VLOOKUP(A549,'Undivideable Expenses'!$D$70:$AA$100,24,0)</f>
        <v>4437.7</v>
      </c>
      <c r="H549" s="12">
        <f t="shared" si="150"/>
        <v>65.14865830929098</v>
      </c>
    </row>
    <row r="553" spans="1:8" x14ac:dyDescent="0.25">
      <c r="A553" t="s">
        <v>88</v>
      </c>
    </row>
    <row r="554" spans="1:8" x14ac:dyDescent="0.25">
      <c r="A554" s="8" t="s">
        <v>6</v>
      </c>
      <c r="B554" s="8" t="s">
        <v>88</v>
      </c>
      <c r="C554" s="22" t="s">
        <v>50</v>
      </c>
      <c r="D554" s="22" t="s">
        <v>9</v>
      </c>
    </row>
    <row r="555" spans="1:8" x14ac:dyDescent="0.25">
      <c r="A555" s="6">
        <v>45826</v>
      </c>
      <c r="B555">
        <v>1711.25</v>
      </c>
      <c r="C555">
        <f>+VLOOKUP(A555,'Undivideable Expenses'!$D$37:$W$66,20,0)</f>
        <v>17368</v>
      </c>
      <c r="D555" s="7">
        <f t="shared" ref="D555:D574" si="151">+B555/C555*100</f>
        <v>9.8528903730999531</v>
      </c>
      <c r="G555" s="12">
        <f>+VLOOKUP(A555,'Undivideable Expenses'!$D$37:$V$66,9,0)</f>
        <v>990.09</v>
      </c>
      <c r="H555" s="12">
        <f t="shared" ref="H555:H574" si="152">+G555/100*D555</f>
        <v>97.552482295025328</v>
      </c>
    </row>
    <row r="556" spans="1:8" x14ac:dyDescent="0.25">
      <c r="A556" s="6">
        <v>45827</v>
      </c>
      <c r="B556">
        <v>3472.5</v>
      </c>
      <c r="C556">
        <f>+VLOOKUP(A556,'Undivideable Expenses'!$D$37:$W$66,20,0)</f>
        <v>17939.75</v>
      </c>
      <c r="D556" s="7">
        <f t="shared" si="151"/>
        <v>19.356457029780234</v>
      </c>
      <c r="G556" s="12">
        <f>+VLOOKUP(A556,'Undivideable Expenses'!$D$37:$V$66,9,0)</f>
        <v>1026</v>
      </c>
      <c r="H556" s="12">
        <f t="shared" si="152"/>
        <v>198.5972491255452</v>
      </c>
    </row>
    <row r="557" spans="1:8" x14ac:dyDescent="0.25">
      <c r="A557" s="6">
        <v>45828</v>
      </c>
      <c r="B557">
        <v>4228.75</v>
      </c>
      <c r="C557">
        <f>+VLOOKUP(A557,'Undivideable Expenses'!$D$37:$W$66,20,0)</f>
        <v>18628</v>
      </c>
      <c r="D557" s="7">
        <f t="shared" si="151"/>
        <v>22.701041442989048</v>
      </c>
      <c r="G557" s="12">
        <f>+VLOOKUP(A557,'Undivideable Expenses'!$D$37:$V$66,9,0)</f>
        <v>1028.5650000000001</v>
      </c>
      <c r="H557" s="12">
        <f t="shared" si="152"/>
        <v>233.49496691808031</v>
      </c>
    </row>
    <row r="558" spans="1:8" x14ac:dyDescent="0.25">
      <c r="A558" s="6">
        <v>45829</v>
      </c>
      <c r="B558">
        <v>4222.5</v>
      </c>
      <c r="C558">
        <f>+VLOOKUP(A558,'Undivideable Expenses'!$D$37:$W$66,20,0)</f>
        <v>15640</v>
      </c>
      <c r="D558" s="7">
        <f t="shared" si="151"/>
        <v>26.998081841432224</v>
      </c>
      <c r="G558" s="12">
        <f>+VLOOKUP(A558,'Undivideable Expenses'!$D$37:$V$66,9,0)</f>
        <v>802.84500000000003</v>
      </c>
      <c r="H558" s="12">
        <f t="shared" si="152"/>
        <v>216.75275015984653</v>
      </c>
    </row>
    <row r="559" spans="1:8" x14ac:dyDescent="0.25">
      <c r="A559" s="6">
        <v>45831</v>
      </c>
      <c r="B559">
        <v>4401.25</v>
      </c>
      <c r="C559">
        <f>+VLOOKUP(A559,'Undivideable Expenses'!$D$37:$W$66,20,0)</f>
        <v>19450</v>
      </c>
      <c r="D559" s="7">
        <f t="shared" si="151"/>
        <v>22.628534704370178</v>
      </c>
      <c r="G559" s="12">
        <f>+VLOOKUP(A559,'Undivideable Expenses'!$D$37:$V$66,9,0)</f>
        <v>1042.2449999999999</v>
      </c>
      <c r="H559" s="12">
        <f t="shared" si="152"/>
        <v>235.84477152956296</v>
      </c>
    </row>
    <row r="560" spans="1:8" x14ac:dyDescent="0.25">
      <c r="A560" s="6">
        <v>45832</v>
      </c>
      <c r="B560">
        <v>3947.5</v>
      </c>
      <c r="C560">
        <f>+VLOOKUP(A560,'Undivideable Expenses'!$D$37:$W$66,20,0)</f>
        <v>19444.5</v>
      </c>
      <c r="D560" s="7">
        <f t="shared" si="151"/>
        <v>20.301370567512663</v>
      </c>
      <c r="G560" s="12">
        <f>+VLOOKUP(A560,'Undivideable Expenses'!$D$37:$V$66,9,0)</f>
        <v>1039.68</v>
      </c>
      <c r="H560" s="12">
        <f t="shared" si="152"/>
        <v>211.06928951631568</v>
      </c>
    </row>
    <row r="561" spans="1:8" x14ac:dyDescent="0.25">
      <c r="A561" s="6">
        <v>45833</v>
      </c>
      <c r="B561">
        <v>978.75</v>
      </c>
      <c r="C561">
        <f>+VLOOKUP(A561,'Undivideable Expenses'!$D$37:$W$66,20,0)</f>
        <v>18274</v>
      </c>
      <c r="D561" s="7">
        <f t="shared" si="151"/>
        <v>5.3559702309291888</v>
      </c>
      <c r="G561" s="12">
        <f>+VLOOKUP(A561,'Undivideable Expenses'!$D$37:$V$66,9,0)</f>
        <v>1033.6949999999999</v>
      </c>
      <c r="H561" s="12">
        <f t="shared" si="152"/>
        <v>55.364396478603474</v>
      </c>
    </row>
    <row r="562" spans="1:8" x14ac:dyDescent="0.25">
      <c r="A562" s="6">
        <v>45834</v>
      </c>
      <c r="B562">
        <v>626.25</v>
      </c>
      <c r="C562">
        <f>+VLOOKUP(A562,'Undivideable Expenses'!$D$37:$W$66,20,0)</f>
        <v>18253.125</v>
      </c>
      <c r="D562" s="7">
        <f t="shared" si="151"/>
        <v>3.430919363122753</v>
      </c>
      <c r="G562" s="12">
        <f>+VLOOKUP(A562,'Undivideable Expenses'!$D$37:$V$66,9,0)</f>
        <v>1046.52</v>
      </c>
      <c r="H562" s="12">
        <f t="shared" si="152"/>
        <v>35.905257318952231</v>
      </c>
    </row>
    <row r="563" spans="1:8" x14ac:dyDescent="0.25">
      <c r="A563" s="6">
        <v>45835</v>
      </c>
      <c r="B563">
        <v>1923.75</v>
      </c>
      <c r="C563">
        <f>+VLOOKUP(A563,'Undivideable Expenses'!$D$37:$W$66,20,0)</f>
        <v>18131</v>
      </c>
      <c r="D563" s="7">
        <f t="shared" si="151"/>
        <v>10.610280734653356</v>
      </c>
      <c r="G563" s="12">
        <f>+VLOOKUP(A563,'Undivideable Expenses'!$D$37:$V$66,9,0)</f>
        <v>623.29499999999996</v>
      </c>
      <c r="H563" s="12">
        <f t="shared" si="152"/>
        <v>66.133349305057635</v>
      </c>
    </row>
    <row r="564" spans="1:8" x14ac:dyDescent="0.25">
      <c r="A564" s="6">
        <v>45836</v>
      </c>
      <c r="B564">
        <v>4566.25</v>
      </c>
      <c r="C564">
        <f>+VLOOKUP(A564,'Undivideable Expenses'!$D$37:$W$66,20,0)</f>
        <v>19172</v>
      </c>
      <c r="D564" s="7">
        <f t="shared" si="151"/>
        <v>23.817285624869601</v>
      </c>
      <c r="G564" s="12">
        <f>+VLOOKUP(A564,'Undivideable Expenses'!$D$37:$V$66,9,0)</f>
        <v>990.94499999999994</v>
      </c>
      <c r="H564" s="12">
        <f t="shared" si="152"/>
        <v>236.01620103536408</v>
      </c>
    </row>
    <row r="565" spans="1:8" x14ac:dyDescent="0.25">
      <c r="A565" s="6">
        <v>45837</v>
      </c>
      <c r="B565">
        <v>3778.333333333333</v>
      </c>
      <c r="C565">
        <f>+VLOOKUP(A565,'Undivideable Expenses'!$D$37:$W$66,20,0)</f>
        <v>13830.666666666666</v>
      </c>
      <c r="D565" s="7">
        <f t="shared" si="151"/>
        <v>27.318519232623157</v>
      </c>
      <c r="G565" s="12">
        <f>+VLOOKUP(A565,'Undivideable Expenses'!$D$37:$V$66,9,0)</f>
        <v>1501.92</v>
      </c>
      <c r="H565" s="12">
        <f t="shared" si="152"/>
        <v>410.30230405861374</v>
      </c>
    </row>
    <row r="566" spans="1:8" x14ac:dyDescent="0.25">
      <c r="A566" s="6">
        <v>45838</v>
      </c>
      <c r="B566">
        <v>5985</v>
      </c>
      <c r="C566">
        <f>+VLOOKUP(A566,'Undivideable Expenses'!$D$37:$W$66,20,0)</f>
        <v>19402</v>
      </c>
      <c r="D566" s="7">
        <f t="shared" si="151"/>
        <v>30.847335326255028</v>
      </c>
      <c r="G566" s="12">
        <f>+VLOOKUP(A566,'Undivideable Expenses'!$D$37:$V$66,9,0)</f>
        <v>990.94499999999994</v>
      </c>
      <c r="H566" s="12">
        <f t="shared" si="152"/>
        <v>305.68012704875787</v>
      </c>
    </row>
    <row r="567" spans="1:8" x14ac:dyDescent="0.25">
      <c r="A567" s="6">
        <v>45839</v>
      </c>
      <c r="B567">
        <v>3667.5</v>
      </c>
      <c r="C567">
        <f>+VLOOKUP(A567,'Undivideable Expenses'!$D$70:$AF$100,25,0)</f>
        <v>19101</v>
      </c>
      <c r="D567" s="7">
        <f t="shared" si="151"/>
        <v>19.200565415423277</v>
      </c>
      <c r="G567" s="12">
        <f>+VLOOKUP(A567,'Undivideable Expenses'!$D$70:$AA$100,24,0)</f>
        <v>3171.12</v>
      </c>
      <c r="H567" s="12">
        <f t="shared" si="152"/>
        <v>608.87297000157059</v>
      </c>
    </row>
    <row r="568" spans="1:8" x14ac:dyDescent="0.25">
      <c r="A568" s="6">
        <v>45840</v>
      </c>
      <c r="B568">
        <v>538.75</v>
      </c>
      <c r="C568">
        <f>+VLOOKUP(A568,'Undivideable Expenses'!$D$70:$AF$100,25,0)</f>
        <v>20220</v>
      </c>
      <c r="D568" s="7">
        <f t="shared" si="151"/>
        <v>2.6644411473788328</v>
      </c>
      <c r="G568" s="12">
        <f>+VLOOKUP(A568,'Undivideable Expenses'!$D$70:$AA$100,24,0)</f>
        <v>3178.4300000000003</v>
      </c>
      <c r="H568" s="12">
        <f t="shared" si="152"/>
        <v>84.687396760633035</v>
      </c>
    </row>
    <row r="569" spans="1:8" x14ac:dyDescent="0.25">
      <c r="A569" s="6">
        <v>45841</v>
      </c>
      <c r="B569">
        <v>892.5</v>
      </c>
      <c r="C569">
        <f>+VLOOKUP(A569,'Undivideable Expenses'!$D$70:$AF$100,25,0)</f>
        <v>19448</v>
      </c>
      <c r="D569" s="7">
        <f t="shared" si="151"/>
        <v>4.5891608391608392</v>
      </c>
      <c r="G569" s="12">
        <f>+VLOOKUP(A569,'Undivideable Expenses'!$D$70:$AA$100,24,0)</f>
        <v>3367.16</v>
      </c>
      <c r="H569" s="12">
        <f t="shared" si="152"/>
        <v>154.5243881118881</v>
      </c>
    </row>
    <row r="570" spans="1:8" x14ac:dyDescent="0.25">
      <c r="A570" s="6">
        <v>45842</v>
      </c>
      <c r="B570">
        <v>235</v>
      </c>
      <c r="C570">
        <f>+VLOOKUP(A570,'Undivideable Expenses'!$D$70:$AF$100,25,0)</f>
        <v>20227</v>
      </c>
      <c r="D570" s="7">
        <f t="shared" si="151"/>
        <v>1.1618134177090029</v>
      </c>
      <c r="G570" s="12">
        <f>+VLOOKUP(A570,'Undivideable Expenses'!$D$70:$AA$100,24,0)</f>
        <v>3899.57</v>
      </c>
      <c r="H570" s="12">
        <f t="shared" si="152"/>
        <v>45.305727492954965</v>
      </c>
    </row>
    <row r="571" spans="1:8" x14ac:dyDescent="0.25">
      <c r="A571" s="6">
        <v>45843</v>
      </c>
      <c r="B571">
        <v>1073.75</v>
      </c>
      <c r="C571">
        <f>+VLOOKUP(A571,'Undivideable Expenses'!$D$70:$AF$100,25,0)</f>
        <v>15316.25</v>
      </c>
      <c r="D571" s="7">
        <f t="shared" si="151"/>
        <v>7.0105280339508695</v>
      </c>
      <c r="G571" s="12">
        <f>+VLOOKUP(A571,'Undivideable Expenses'!$D$70:$AA$100,24,0)</f>
        <v>3221.15</v>
      </c>
      <c r="H571" s="12">
        <f t="shared" si="152"/>
        <v>225.81962376560844</v>
      </c>
    </row>
    <row r="572" spans="1:8" x14ac:dyDescent="0.25">
      <c r="A572" s="6">
        <v>45845</v>
      </c>
      <c r="B572">
        <v>391.25</v>
      </c>
      <c r="C572">
        <f>+VLOOKUP(A572,'Undivideable Expenses'!$D$70:$AF$100,25,0)</f>
        <v>19340.25</v>
      </c>
      <c r="D572" s="7">
        <f t="shared" si="151"/>
        <v>2.0229831568878374</v>
      </c>
      <c r="G572" s="12">
        <f>+VLOOKUP(A572,'Undivideable Expenses'!$D$70:$AA$100,24,0)</f>
        <v>3082.0699999999997</v>
      </c>
      <c r="H572" s="12">
        <f t="shared" si="152"/>
        <v>62.349756983492966</v>
      </c>
    </row>
    <row r="573" spans="1:8" x14ac:dyDescent="0.25">
      <c r="A573" s="6">
        <v>45846</v>
      </c>
      <c r="B573">
        <v>926.25</v>
      </c>
      <c r="C573">
        <f>+VLOOKUP(A573,'Undivideable Expenses'!$D$70:$AF$100,25,0)</f>
        <v>20686</v>
      </c>
      <c r="D573" s="7">
        <f t="shared" si="151"/>
        <v>4.4776660543362663</v>
      </c>
      <c r="G573" s="12">
        <f>+VLOOKUP(A573,'Undivideable Expenses'!$D$70:$AA$100,24,0)</f>
        <v>4242.09</v>
      </c>
      <c r="H573" s="12">
        <f t="shared" si="152"/>
        <v>189.94662392439332</v>
      </c>
    </row>
    <row r="574" spans="1:8" x14ac:dyDescent="0.25">
      <c r="A574" s="6">
        <v>45857</v>
      </c>
      <c r="B574">
        <v>230</v>
      </c>
      <c r="C574">
        <f>+VLOOKUP(A574,'Undivideable Expenses'!$D$70:$AF$100,25,0)</f>
        <v>18823.75</v>
      </c>
      <c r="D574" s="7">
        <f t="shared" si="151"/>
        <v>1.2218606813201407</v>
      </c>
      <c r="G574" s="12">
        <f>+VLOOKUP(A574,'Undivideable Expenses'!$D$70:$AA$100,24,0)</f>
        <v>3177.4900000000002</v>
      </c>
      <c r="H574" s="12">
        <f t="shared" si="152"/>
        <v>38.824500962879341</v>
      </c>
    </row>
    <row r="577" spans="1:8" x14ac:dyDescent="0.25">
      <c r="A577" t="s">
        <v>89</v>
      </c>
    </row>
    <row r="578" spans="1:8" x14ac:dyDescent="0.25">
      <c r="A578" s="8" t="s">
        <v>6</v>
      </c>
      <c r="B578" s="8" t="s">
        <v>90</v>
      </c>
      <c r="C578" s="22" t="s">
        <v>50</v>
      </c>
      <c r="D578" s="22" t="s">
        <v>9</v>
      </c>
    </row>
    <row r="579" spans="1:8" x14ac:dyDescent="0.25">
      <c r="A579" s="6">
        <v>45832</v>
      </c>
      <c r="B579">
        <v>297.5</v>
      </c>
      <c r="C579" s="12">
        <f>+VLOOKUP(A579,'Undivideable Expenses'!$D$37:$W$66,20,0)</f>
        <v>19444.5</v>
      </c>
      <c r="D579" s="7">
        <f t="shared" ref="D579:D600" si="153">+B579/C579*100</f>
        <v>1.5299956285839185</v>
      </c>
      <c r="G579" s="12">
        <f>+VLOOKUP(A579,'Undivideable Expenses'!$D$37:$V$66,9,0)</f>
        <v>1039.68</v>
      </c>
      <c r="H579" s="12">
        <f t="shared" ref="H579:H600" si="154">+G579/100*D579</f>
        <v>15.907058551261285</v>
      </c>
    </row>
    <row r="580" spans="1:8" x14ac:dyDescent="0.25">
      <c r="A580" s="6">
        <v>45833</v>
      </c>
      <c r="B580">
        <v>10252.5</v>
      </c>
      <c r="C580" s="12">
        <f>+VLOOKUP(A580,'Undivideable Expenses'!$D$37:$W$66,20,0)</f>
        <v>18274</v>
      </c>
      <c r="D580" s="7">
        <f t="shared" si="153"/>
        <v>56.104301192951731</v>
      </c>
      <c r="G580" s="12">
        <f>+VLOOKUP(A580,'Undivideable Expenses'!$D$37:$V$66,9,0)</f>
        <v>1033.6949999999999</v>
      </c>
      <c r="H580" s="12">
        <f t="shared" si="154"/>
        <v>579.94735621648238</v>
      </c>
    </row>
    <row r="581" spans="1:8" x14ac:dyDescent="0.25">
      <c r="A581" s="6">
        <v>45834</v>
      </c>
      <c r="B581">
        <v>16205</v>
      </c>
      <c r="C581" s="12">
        <f>+VLOOKUP(A581,'Undivideable Expenses'!$D$37:$W$66,20,0)</f>
        <v>18253.125</v>
      </c>
      <c r="D581" s="7">
        <f t="shared" si="153"/>
        <v>88.779318609827087</v>
      </c>
      <c r="G581" s="12">
        <f>+VLOOKUP(A581,'Undivideable Expenses'!$D$37:$V$66,9,0)</f>
        <v>1046.52</v>
      </c>
      <c r="H581" s="12">
        <f t="shared" si="154"/>
        <v>929.09332511556238</v>
      </c>
    </row>
    <row r="582" spans="1:8" x14ac:dyDescent="0.25">
      <c r="A582" s="6">
        <v>45835</v>
      </c>
      <c r="B582">
        <v>8933.75</v>
      </c>
      <c r="C582" s="12">
        <f>+VLOOKUP(A582,'Undivideable Expenses'!$D$37:$W$66,20,0)</f>
        <v>18131</v>
      </c>
      <c r="D582" s="7">
        <f t="shared" si="153"/>
        <v>49.273343996470132</v>
      </c>
      <c r="G582" s="12">
        <f>+VLOOKUP(A582,'Undivideable Expenses'!$D$37:$V$66,9,0)</f>
        <v>623.29499999999996</v>
      </c>
      <c r="H582" s="12">
        <f t="shared" si="154"/>
        <v>307.11828946279849</v>
      </c>
    </row>
    <row r="583" spans="1:8" x14ac:dyDescent="0.25">
      <c r="A583" s="6">
        <v>45836</v>
      </c>
      <c r="B583">
        <v>7446.25</v>
      </c>
      <c r="C583" s="12">
        <f>+VLOOKUP(A583,'Undivideable Expenses'!$D$37:$W$66,20,0)</f>
        <v>19172</v>
      </c>
      <c r="D583" s="7">
        <f t="shared" si="153"/>
        <v>38.83919257250156</v>
      </c>
      <c r="G583" s="12">
        <f>+VLOOKUP(A583,'Undivideable Expenses'!$D$37:$V$66,9,0)</f>
        <v>990.94499999999994</v>
      </c>
      <c r="H583" s="12">
        <f t="shared" si="154"/>
        <v>384.87503683757558</v>
      </c>
    </row>
    <row r="584" spans="1:8" x14ac:dyDescent="0.25">
      <c r="A584" s="6">
        <v>45837</v>
      </c>
      <c r="B584">
        <v>4366.6666666666661</v>
      </c>
      <c r="C584" s="12">
        <f>+VLOOKUP(A584,'Undivideable Expenses'!$D$37:$W$66,20,0)</f>
        <v>13830.666666666666</v>
      </c>
      <c r="D584" s="7">
        <f t="shared" si="153"/>
        <v>31.572351296635492</v>
      </c>
      <c r="G584" s="12">
        <f>+VLOOKUP(A584,'Undivideable Expenses'!$D$37:$V$66,9,0)</f>
        <v>1501.92</v>
      </c>
      <c r="H584" s="12">
        <f t="shared" si="154"/>
        <v>474.19145859442784</v>
      </c>
    </row>
    <row r="585" spans="1:8" x14ac:dyDescent="0.25">
      <c r="A585" s="6">
        <v>45838</v>
      </c>
      <c r="B585">
        <v>6712.5</v>
      </c>
      <c r="C585" s="12">
        <f>+VLOOKUP(A585,'Undivideable Expenses'!$D$37:$W$66,20,0)</f>
        <v>19402</v>
      </c>
      <c r="D585" s="7">
        <f t="shared" si="153"/>
        <v>34.596948768168225</v>
      </c>
      <c r="G585" s="12">
        <f>+VLOOKUP(A585,'Undivideable Expenses'!$D$37:$V$66,9,0)</f>
        <v>990.94499999999994</v>
      </c>
      <c r="H585" s="12">
        <f t="shared" si="154"/>
        <v>342.83673397072459</v>
      </c>
    </row>
    <row r="586" spans="1:8" x14ac:dyDescent="0.25">
      <c r="A586" s="6">
        <v>45839</v>
      </c>
      <c r="B586">
        <v>4913.75</v>
      </c>
      <c r="C586" s="12">
        <f>+VLOOKUP(A586,'Undivideable Expenses'!$D$70:$AF$100,25,0)</f>
        <v>19101</v>
      </c>
      <c r="D586" s="7">
        <f t="shared" si="153"/>
        <v>25.725092927071881</v>
      </c>
      <c r="G586" s="12">
        <f>+VLOOKUP(A586,'Undivideable Expenses'!$D$70:$AA$100,24,0)</f>
        <v>3171.12</v>
      </c>
      <c r="H586" s="12">
        <f t="shared" si="154"/>
        <v>815.77356682896175</v>
      </c>
    </row>
    <row r="587" spans="1:8" x14ac:dyDescent="0.25">
      <c r="A587" s="6">
        <v>45840</v>
      </c>
      <c r="B587">
        <v>7265</v>
      </c>
      <c r="C587" s="12">
        <f>+VLOOKUP(A587,'Undivideable Expenses'!$D$70:$AF$100,25,0)</f>
        <v>20220</v>
      </c>
      <c r="D587" s="7">
        <f t="shared" si="153"/>
        <v>35.929772502472801</v>
      </c>
      <c r="G587" s="12">
        <f>+VLOOKUP(A587,'Undivideable Expenses'!$D$70:$AA$100,24,0)</f>
        <v>3178.4300000000003</v>
      </c>
      <c r="H587" s="12">
        <f t="shared" si="154"/>
        <v>1142.0026681503464</v>
      </c>
    </row>
    <row r="588" spans="1:8" x14ac:dyDescent="0.25">
      <c r="A588" s="6">
        <v>45841</v>
      </c>
      <c r="B588">
        <v>2187.5</v>
      </c>
      <c r="C588" s="12">
        <f>+VLOOKUP(A588,'Undivideable Expenses'!$D$70:$AF$100,25,0)</f>
        <v>19448</v>
      </c>
      <c r="D588" s="7">
        <f t="shared" si="153"/>
        <v>11.247943233237351</v>
      </c>
      <c r="G588" s="12">
        <f>+VLOOKUP(A588,'Undivideable Expenses'!$D$70:$AA$100,24,0)</f>
        <v>3367.16</v>
      </c>
      <c r="H588" s="12">
        <f t="shared" si="154"/>
        <v>378.73624537227477</v>
      </c>
    </row>
    <row r="589" spans="1:8" x14ac:dyDescent="0.25">
      <c r="A589" s="6">
        <v>45842</v>
      </c>
      <c r="B589">
        <v>395</v>
      </c>
      <c r="C589" s="12">
        <f>+VLOOKUP(A589,'Undivideable Expenses'!$D$70:$AF$100,25,0)</f>
        <v>20227</v>
      </c>
      <c r="D589" s="7">
        <f t="shared" si="153"/>
        <v>1.9528353191278984</v>
      </c>
      <c r="G589" s="12">
        <f>+VLOOKUP(A589,'Undivideable Expenses'!$D$70:$AA$100,24,0)</f>
        <v>3899.57</v>
      </c>
      <c r="H589" s="12">
        <f t="shared" si="154"/>
        <v>76.152180254115791</v>
      </c>
    </row>
    <row r="590" spans="1:8" x14ac:dyDescent="0.25">
      <c r="A590" s="6">
        <v>45843</v>
      </c>
      <c r="B590">
        <v>695</v>
      </c>
      <c r="C590" s="12">
        <f>+VLOOKUP(A590,'Undivideable Expenses'!$D$70:$AF$100,25,0)</f>
        <v>15316.25</v>
      </c>
      <c r="D590" s="7">
        <f t="shared" si="153"/>
        <v>4.5376642454909</v>
      </c>
      <c r="G590" s="12">
        <f>+VLOOKUP(A590,'Undivideable Expenses'!$D$70:$AA$100,24,0)</f>
        <v>3221.15</v>
      </c>
      <c r="H590" s="12">
        <f t="shared" si="154"/>
        <v>146.16497184363013</v>
      </c>
    </row>
    <row r="591" spans="1:8" x14ac:dyDescent="0.25">
      <c r="A591" s="6">
        <v>45845</v>
      </c>
      <c r="B591">
        <v>2166.25</v>
      </c>
      <c r="C591" s="12">
        <f>+VLOOKUP(A591,'Undivideable Expenses'!$D$70:$AF$100,25,0)</f>
        <v>19340.25</v>
      </c>
      <c r="D591" s="7">
        <f t="shared" si="153"/>
        <v>11.200734220085055</v>
      </c>
      <c r="G591" s="12">
        <f>+VLOOKUP(A591,'Undivideable Expenses'!$D$70:$AA$100,24,0)</f>
        <v>3082.0699999999997</v>
      </c>
      <c r="H591" s="12">
        <f t="shared" si="154"/>
        <v>345.21446917697546</v>
      </c>
    </row>
    <row r="592" spans="1:8" x14ac:dyDescent="0.25">
      <c r="A592" s="6">
        <v>45846</v>
      </c>
      <c r="B592">
        <v>1037.5</v>
      </c>
      <c r="C592" s="12">
        <f>+VLOOKUP(A592,'Undivideable Expenses'!$D$70:$AF$100,25,0)</f>
        <v>20686</v>
      </c>
      <c r="D592" s="7">
        <f t="shared" si="153"/>
        <v>5.0154693995939281</v>
      </c>
      <c r="G592" s="12">
        <f>+VLOOKUP(A592,'Undivideable Expenses'!$D$70:$AA$100,24,0)</f>
        <v>4242.09</v>
      </c>
      <c r="H592" s="12">
        <f t="shared" si="154"/>
        <v>212.76072585323408</v>
      </c>
    </row>
    <row r="593" spans="1:8" x14ac:dyDescent="0.25">
      <c r="A593" s="6">
        <v>45847</v>
      </c>
      <c r="B593">
        <v>376.25</v>
      </c>
      <c r="C593" s="12">
        <f>+VLOOKUP(A593,'Undivideable Expenses'!$D$70:$AF$100,25,0)</f>
        <v>21121.375</v>
      </c>
      <c r="D593" s="7">
        <f t="shared" si="153"/>
        <v>1.7813707677648827</v>
      </c>
      <c r="G593" s="12">
        <f>+VLOOKUP(A593,'Undivideable Expenses'!$D$70:$AA$100,24,0)</f>
        <v>3004</v>
      </c>
      <c r="H593" s="12">
        <f t="shared" si="154"/>
        <v>53.512377863657072</v>
      </c>
    </row>
    <row r="594" spans="1:8" x14ac:dyDescent="0.25">
      <c r="A594" s="6">
        <v>45851</v>
      </c>
      <c r="B594">
        <v>306.66666666666669</v>
      </c>
      <c r="C594" s="12">
        <f>+VLOOKUP(A594,'Undivideable Expenses'!$D$70:$AF$100,25,0)</f>
        <v>15100</v>
      </c>
      <c r="D594" s="7">
        <f t="shared" si="153"/>
        <v>2.0309050772626933</v>
      </c>
      <c r="G594" s="12">
        <f>+VLOOKUP(A594,'Undivideable Expenses'!$D$70:$AA$100,24,0)</f>
        <v>3895.2000000000003</v>
      </c>
      <c r="H594" s="12">
        <f t="shared" si="154"/>
        <v>79.107814569536444</v>
      </c>
    </row>
    <row r="595" spans="1:8" x14ac:dyDescent="0.25">
      <c r="A595" s="6">
        <v>45852</v>
      </c>
      <c r="B595">
        <v>375</v>
      </c>
      <c r="C595" s="12">
        <f>+VLOOKUP(A595,'Undivideable Expenses'!$D$70:$AF$100,25,0)</f>
        <v>18976.25</v>
      </c>
      <c r="D595" s="7">
        <f t="shared" si="153"/>
        <v>1.976154403530729</v>
      </c>
      <c r="G595" s="12">
        <f>+VLOOKUP(A595,'Undivideable Expenses'!$D$70:$AA$100,24,0)</f>
        <v>4415.74</v>
      </c>
      <c r="H595" s="12">
        <f t="shared" si="154"/>
        <v>87.261840458467802</v>
      </c>
    </row>
    <row r="596" spans="1:8" x14ac:dyDescent="0.25">
      <c r="A596" s="6">
        <v>45853</v>
      </c>
      <c r="B596">
        <v>750</v>
      </c>
      <c r="C596" s="12">
        <f>+VLOOKUP(A596,'Undivideable Expenses'!$D$70:$AF$100,25,0)</f>
        <v>15475</v>
      </c>
      <c r="D596" s="7">
        <f t="shared" si="153"/>
        <v>4.8465266558966071</v>
      </c>
      <c r="G596" s="12">
        <f>+VLOOKUP(A596,'Undivideable Expenses'!$D$70:$AA$100,24,0)</f>
        <v>3504.4800000000005</v>
      </c>
      <c r="H596" s="12">
        <f t="shared" si="154"/>
        <v>169.84555735056543</v>
      </c>
    </row>
    <row r="597" spans="1:8" x14ac:dyDescent="0.25">
      <c r="A597" s="6">
        <v>45854</v>
      </c>
      <c r="B597">
        <v>793.75</v>
      </c>
      <c r="C597" s="12">
        <f>+VLOOKUP(A597,'Undivideable Expenses'!$D$70:$AF$100,25,0)</f>
        <v>19583.5</v>
      </c>
      <c r="D597" s="7">
        <f t="shared" si="153"/>
        <v>4.0531569944085586</v>
      </c>
      <c r="G597" s="12">
        <f>+VLOOKUP(A597,'Undivideable Expenses'!$D$70:$AA$100,24,0)</f>
        <v>4437.7</v>
      </c>
      <c r="H597" s="12">
        <f t="shared" si="154"/>
        <v>179.86694794086858</v>
      </c>
    </row>
    <row r="598" spans="1:8" x14ac:dyDescent="0.25">
      <c r="A598" s="6">
        <v>45855</v>
      </c>
      <c r="B598">
        <v>392.5</v>
      </c>
      <c r="C598" s="12">
        <f>+VLOOKUP(A598,'Undivideable Expenses'!$D$70:$AF$100,25,0)</f>
        <v>21265</v>
      </c>
      <c r="D598" s="7">
        <f t="shared" si="153"/>
        <v>1.8457559369856571</v>
      </c>
      <c r="G598" s="12">
        <f>+VLOOKUP(A598,'Undivideable Expenses'!$D$70:$AA$100,24,0)</f>
        <v>4428.74</v>
      </c>
      <c r="H598" s="12">
        <f t="shared" si="154"/>
        <v>81.743731483658593</v>
      </c>
    </row>
    <row r="599" spans="1:8" x14ac:dyDescent="0.25">
      <c r="A599" s="6">
        <v>45856</v>
      </c>
      <c r="B599">
        <v>345</v>
      </c>
      <c r="C599" s="12">
        <f>+VLOOKUP(A599,'Undivideable Expenses'!$D$70:$AF$100,25,0)</f>
        <v>22924.875</v>
      </c>
      <c r="D599" s="7">
        <f t="shared" si="153"/>
        <v>1.5049155120802187</v>
      </c>
      <c r="G599" s="12">
        <f>+VLOOKUP(A599,'Undivideable Expenses'!$D$70:$AA$100,24,0)</f>
        <v>4467.2</v>
      </c>
      <c r="H599" s="12">
        <f t="shared" si="154"/>
        <v>67.227585755647524</v>
      </c>
    </row>
    <row r="600" spans="1:8" x14ac:dyDescent="0.25">
      <c r="A600" s="6">
        <v>45859</v>
      </c>
      <c r="B600">
        <v>150</v>
      </c>
      <c r="C600" s="12">
        <f>+VLOOKUP(A600,'Undivideable Expenses'!$D$70:$AF$100,25,0)</f>
        <v>21283.5</v>
      </c>
      <c r="D600" s="7">
        <f t="shared" si="153"/>
        <v>0.70477130171259428</v>
      </c>
      <c r="G600" s="12">
        <f>+VLOOKUP(A600,'Undivideable Expenses'!$D$70:$AA$100,24,0)</f>
        <v>3814.75</v>
      </c>
      <c r="H600" s="12">
        <f t="shared" si="154"/>
        <v>26.88526323208119</v>
      </c>
    </row>
    <row r="603" spans="1:8" x14ac:dyDescent="0.25">
      <c r="A603" s="8" t="s">
        <v>6</v>
      </c>
      <c r="B603" s="8" t="s">
        <v>91</v>
      </c>
      <c r="C603" s="22" t="s">
        <v>50</v>
      </c>
      <c r="D603" s="22" t="s">
        <v>9</v>
      </c>
    </row>
    <row r="604" spans="1:8" x14ac:dyDescent="0.25">
      <c r="A604" s="6">
        <v>45842</v>
      </c>
      <c r="B604" s="7">
        <v>457.5</v>
      </c>
      <c r="C604" s="12">
        <f>+VLOOKUP(A604,'Undivideable Expenses'!$D$70:$AF$100,25,0)</f>
        <v>20227</v>
      </c>
      <c r="D604" s="7">
        <f t="shared" ref="D604" si="155">+B604/C604*100</f>
        <v>2.2618282493696547</v>
      </c>
      <c r="G604" s="12">
        <f>+VLOOKUP(A604,'Undivideable Expenses'!$D$70:$AA$100,24,0)</f>
        <v>3899.57</v>
      </c>
      <c r="H604" s="12">
        <f t="shared" ref="H604" si="156">+G604/100*D604</f>
        <v>88.201575863944242</v>
      </c>
    </row>
    <row r="605" spans="1:8" x14ac:dyDescent="0.25">
      <c r="A605" s="6">
        <v>45843</v>
      </c>
      <c r="B605" s="7">
        <v>58.75</v>
      </c>
      <c r="C605" s="12">
        <f>+VLOOKUP(A605,'Undivideable Expenses'!$D$70:$AF$100,25,0)</f>
        <v>15316.25</v>
      </c>
      <c r="D605" s="7">
        <f t="shared" ref="D605:D622" si="157">+B605/C605*100</f>
        <v>0.38357953154329555</v>
      </c>
      <c r="G605" s="12">
        <f>+VLOOKUP(A605,'Undivideable Expenses'!$D$70:$AA$100,24,0)</f>
        <v>3221.15</v>
      </c>
      <c r="H605" s="12">
        <f t="shared" ref="H605:H622" si="158">+G605/100*D605</f>
        <v>12.355672080306865</v>
      </c>
    </row>
    <row r="606" spans="1:8" x14ac:dyDescent="0.25">
      <c r="A606" s="6">
        <v>45845</v>
      </c>
      <c r="B606" s="7">
        <v>1161.25</v>
      </c>
      <c r="C606" s="12">
        <f>+VLOOKUP(A606,'Undivideable Expenses'!$D$70:$AF$100,25,0)</f>
        <v>19340.25</v>
      </c>
      <c r="D606" s="7">
        <f t="shared" si="157"/>
        <v>6.0043174209226873</v>
      </c>
      <c r="G606" s="12">
        <f>+VLOOKUP(A606,'Undivideable Expenses'!$D$70:$AA$100,24,0)</f>
        <v>3082.0699999999997</v>
      </c>
      <c r="H606" s="12">
        <f t="shared" si="158"/>
        <v>185.05726593503186</v>
      </c>
    </row>
    <row r="607" spans="1:8" x14ac:dyDescent="0.25">
      <c r="A607" s="6">
        <v>45846</v>
      </c>
      <c r="B607" s="7">
        <v>3228.75</v>
      </c>
      <c r="C607" s="12">
        <f>+VLOOKUP(A607,'Undivideable Expenses'!$D$70:$AF$100,25,0)</f>
        <v>20686</v>
      </c>
      <c r="D607" s="7">
        <f t="shared" si="157"/>
        <v>15.608382480904959</v>
      </c>
      <c r="G607" s="12">
        <f>+VLOOKUP(A607,'Undivideable Expenses'!$D$70:$AA$100,24,0)</f>
        <v>4242.09</v>
      </c>
      <c r="H607" s="12">
        <f t="shared" si="158"/>
        <v>662.12163238422124</v>
      </c>
    </row>
    <row r="608" spans="1:8" x14ac:dyDescent="0.25">
      <c r="A608" s="6">
        <v>45847</v>
      </c>
      <c r="B608" s="7">
        <v>3630</v>
      </c>
      <c r="C608" s="12">
        <f>+VLOOKUP(A608,'Undivideable Expenses'!$D$70:$AF$100,25,0)</f>
        <v>21121.375</v>
      </c>
      <c r="D608" s="7">
        <f t="shared" si="157"/>
        <v>17.186381094980796</v>
      </c>
      <c r="G608" s="12">
        <f>+VLOOKUP(A608,'Undivideable Expenses'!$D$70:$AA$100,24,0)</f>
        <v>3004</v>
      </c>
      <c r="H608" s="12">
        <f t="shared" si="158"/>
        <v>516.27888809322303</v>
      </c>
    </row>
    <row r="609" spans="1:8" x14ac:dyDescent="0.25">
      <c r="A609" s="6">
        <v>45848</v>
      </c>
      <c r="B609" s="7">
        <v>2100</v>
      </c>
      <c r="C609" s="12">
        <f>+VLOOKUP(A609,'Undivideable Expenses'!$D$70:$AF$100,25,0)</f>
        <v>19639</v>
      </c>
      <c r="D609" s="7">
        <f t="shared" si="157"/>
        <v>10.693008809002496</v>
      </c>
      <c r="G609" s="12">
        <f>+VLOOKUP(A609,'Undivideable Expenses'!$D$70:$AA$100,24,0)</f>
        <v>3771.3500000000004</v>
      </c>
      <c r="H609" s="12">
        <f t="shared" si="158"/>
        <v>403.27078771831566</v>
      </c>
    </row>
    <row r="610" spans="1:8" x14ac:dyDescent="0.25">
      <c r="A610" s="6">
        <v>45849</v>
      </c>
      <c r="B610" s="7">
        <v>1345</v>
      </c>
      <c r="C610" s="12">
        <f>+VLOOKUP(A610,'Undivideable Expenses'!$D$70:$AF$100,25,0)</f>
        <v>17028.75</v>
      </c>
      <c r="D610" s="7">
        <f t="shared" si="157"/>
        <v>7.8984071056301843</v>
      </c>
      <c r="G610" s="12">
        <f>+VLOOKUP(A610,'Undivideable Expenses'!$D$70:$AA$100,24,0)</f>
        <v>2724.78</v>
      </c>
      <c r="H610" s="12">
        <f t="shared" si="158"/>
        <v>215.21421713279014</v>
      </c>
    </row>
    <row r="611" spans="1:8" x14ac:dyDescent="0.25">
      <c r="A611" s="6">
        <v>45850</v>
      </c>
      <c r="B611" s="7">
        <v>3911.25</v>
      </c>
      <c r="C611" s="12">
        <f>+VLOOKUP(A611,'Undivideable Expenses'!$D$70:$AF$100,25,0)</f>
        <v>21448</v>
      </c>
      <c r="D611" s="7">
        <f t="shared" si="157"/>
        <v>18.235966057441253</v>
      </c>
      <c r="G611" s="12">
        <f>+VLOOKUP(A611,'Undivideable Expenses'!$D$70:$AA$100,24,0)</f>
        <v>4271.17</v>
      </c>
      <c r="H611" s="12">
        <f t="shared" si="158"/>
        <v>778.8891114556136</v>
      </c>
    </row>
    <row r="612" spans="1:8" x14ac:dyDescent="0.25">
      <c r="A612" s="6">
        <v>45851</v>
      </c>
      <c r="B612" s="7">
        <v>2393.3333333333335</v>
      </c>
      <c r="C612" s="12">
        <f>+VLOOKUP(A612,'Undivideable Expenses'!$D$70:$AF$100,25,0)</f>
        <v>15100</v>
      </c>
      <c r="D612" s="7">
        <f t="shared" si="157"/>
        <v>15.849889624724062</v>
      </c>
      <c r="G612" s="12">
        <f>+VLOOKUP(A612,'Undivideable Expenses'!$D$70:$AA$100,24,0)</f>
        <v>3895.2000000000003</v>
      </c>
      <c r="H612" s="12">
        <f t="shared" si="158"/>
        <v>617.38490066225177</v>
      </c>
    </row>
    <row r="613" spans="1:8" x14ac:dyDescent="0.25">
      <c r="A613" s="6">
        <v>45852</v>
      </c>
      <c r="B613" s="7">
        <v>3102.5</v>
      </c>
      <c r="C613" s="12">
        <f>+VLOOKUP(A613,'Undivideable Expenses'!$D$70:$AF$100,25,0)</f>
        <v>18976.25</v>
      </c>
      <c r="D613" s="7">
        <f t="shared" si="157"/>
        <v>16.349384098544235</v>
      </c>
      <c r="G613" s="12">
        <f>+VLOOKUP(A613,'Undivideable Expenses'!$D$70:$AA$100,24,0)</f>
        <v>4415.74</v>
      </c>
      <c r="H613" s="12">
        <f t="shared" si="158"/>
        <v>721.94629339305709</v>
      </c>
    </row>
    <row r="614" spans="1:8" x14ac:dyDescent="0.25">
      <c r="A614" s="6">
        <v>45853</v>
      </c>
      <c r="B614" s="7">
        <v>2027.5</v>
      </c>
      <c r="C614" s="12">
        <f>+VLOOKUP(A614,'Undivideable Expenses'!$D$70:$AF$100,25,0)</f>
        <v>15475</v>
      </c>
      <c r="D614" s="7">
        <f t="shared" si="157"/>
        <v>13.101777059773829</v>
      </c>
      <c r="G614" s="12">
        <f>+VLOOKUP(A614,'Undivideable Expenses'!$D$70:$AA$100,24,0)</f>
        <v>3504.4800000000005</v>
      </c>
      <c r="H614" s="12">
        <f t="shared" si="158"/>
        <v>459.14915670436193</v>
      </c>
    </row>
    <row r="615" spans="1:8" x14ac:dyDescent="0.25">
      <c r="A615" s="6">
        <v>45854</v>
      </c>
      <c r="B615" s="7">
        <v>973.75</v>
      </c>
      <c r="C615" s="12">
        <f>+VLOOKUP(A615,'Undivideable Expenses'!$D$70:$AF$100,25,0)</f>
        <v>19583.5</v>
      </c>
      <c r="D615" s="7">
        <f t="shared" si="157"/>
        <v>4.9722981081012074</v>
      </c>
      <c r="G615" s="12">
        <f>+VLOOKUP(A615,'Undivideable Expenses'!$D$70:$AA$100,24,0)</f>
        <v>4437.7</v>
      </c>
      <c r="H615" s="12">
        <f t="shared" si="158"/>
        <v>220.65567314320725</v>
      </c>
    </row>
    <row r="616" spans="1:8" x14ac:dyDescent="0.25">
      <c r="A616" s="6">
        <v>45855</v>
      </c>
      <c r="B616" s="7">
        <v>1207.5</v>
      </c>
      <c r="C616" s="12">
        <f>+VLOOKUP(A616,'Undivideable Expenses'!$D$70:$AF$100,25,0)</f>
        <v>21265</v>
      </c>
      <c r="D616" s="7">
        <f t="shared" si="157"/>
        <v>5.678344697860334</v>
      </c>
      <c r="G616" s="12">
        <f>+VLOOKUP(A616,'Undivideable Expenses'!$D$70:$AA$100,24,0)</f>
        <v>4428.74</v>
      </c>
      <c r="H616" s="12">
        <f t="shared" si="158"/>
        <v>251.47912297201975</v>
      </c>
    </row>
    <row r="617" spans="1:8" x14ac:dyDescent="0.25">
      <c r="A617" s="6">
        <v>45856</v>
      </c>
      <c r="B617" s="7">
        <v>1685</v>
      </c>
      <c r="C617" s="12">
        <f>+VLOOKUP(A617,'Undivideable Expenses'!$D$70:$AF$100,25,0)</f>
        <v>22924.875</v>
      </c>
      <c r="D617" s="7">
        <f t="shared" si="157"/>
        <v>7.350094602478749</v>
      </c>
      <c r="G617" s="12">
        <f>+VLOOKUP(A617,'Undivideable Expenses'!$D$70:$AA$100,24,0)</f>
        <v>4467.2</v>
      </c>
      <c r="H617" s="12">
        <f t="shared" si="158"/>
        <v>328.34342608193066</v>
      </c>
    </row>
    <row r="618" spans="1:8" x14ac:dyDescent="0.25">
      <c r="A618" s="6">
        <v>45859</v>
      </c>
      <c r="B618" s="7">
        <v>857.5</v>
      </c>
      <c r="C618" s="12">
        <f>+VLOOKUP(A618,'Undivideable Expenses'!$D$70:$AF$100,25,0)</f>
        <v>21283.5</v>
      </c>
      <c r="D618" s="7">
        <f t="shared" si="157"/>
        <v>4.0289426081236641</v>
      </c>
      <c r="G618" s="12">
        <f>+VLOOKUP(A618,'Undivideable Expenses'!$D$70:$AA$100,24,0)</f>
        <v>3814.75</v>
      </c>
      <c r="H618" s="12">
        <f t="shared" si="158"/>
        <v>153.69408814339749</v>
      </c>
    </row>
    <row r="619" spans="1:8" x14ac:dyDescent="0.25">
      <c r="A619" s="6">
        <v>45860</v>
      </c>
      <c r="B619" s="7">
        <v>517.5</v>
      </c>
      <c r="C619" s="12">
        <f>+VLOOKUP(A619,'Undivideable Expenses'!$D$70:$AF$100,25,0)</f>
        <v>21203</v>
      </c>
      <c r="D619" s="7">
        <f t="shared" si="157"/>
        <v>2.4406923548554449</v>
      </c>
      <c r="G619" s="12">
        <f>+VLOOKUP(A619,'Undivideable Expenses'!$D$70:$AA$100,24,0)</f>
        <v>3650.4799999999996</v>
      </c>
      <c r="H619" s="12">
        <f t="shared" si="158"/>
        <v>89.09698627552703</v>
      </c>
    </row>
    <row r="620" spans="1:8" x14ac:dyDescent="0.25">
      <c r="A620" s="6">
        <v>45861</v>
      </c>
      <c r="B620" s="7">
        <v>405</v>
      </c>
      <c r="C620" s="12">
        <f>+VLOOKUP(A620,'Undivideable Expenses'!$D$70:$AF$100,25,0)</f>
        <v>20952</v>
      </c>
      <c r="D620" s="7">
        <f t="shared" si="157"/>
        <v>1.9329896907216495</v>
      </c>
      <c r="G620" s="12">
        <f>+VLOOKUP(A620,'Undivideable Expenses'!$D$70:$AA$100,24,0)</f>
        <v>3887.49</v>
      </c>
      <c r="H620" s="12">
        <f t="shared" si="158"/>
        <v>75.144780927835043</v>
      </c>
    </row>
    <row r="621" spans="1:8" x14ac:dyDescent="0.25">
      <c r="A621" s="6">
        <v>45867</v>
      </c>
      <c r="B621" s="7">
        <v>265</v>
      </c>
      <c r="C621" s="12">
        <f>+VLOOKUP(A621,'Undivideable Expenses'!$D$70:$AF$100,25,0)</f>
        <v>23655</v>
      </c>
      <c r="D621" s="7">
        <f t="shared" si="157"/>
        <v>1.1202705559078419</v>
      </c>
      <c r="G621" s="12">
        <f>+VLOOKUP(A621,'Undivideable Expenses'!$D$70:$AA$100,24,0)</f>
        <v>3369.74</v>
      </c>
      <c r="H621" s="12">
        <f t="shared" si="158"/>
        <v>37.750205030648907</v>
      </c>
    </row>
    <row r="622" spans="1:8" x14ac:dyDescent="0.25">
      <c r="A622" s="6">
        <v>45869</v>
      </c>
      <c r="B622" s="7">
        <v>300</v>
      </c>
      <c r="C622" s="12">
        <f>+VLOOKUP(A622,'Undivideable Expenses'!$D$70:$AF$100,25,0)</f>
        <v>18656.25</v>
      </c>
      <c r="D622" s="7">
        <f t="shared" si="157"/>
        <v>1.6080402010050252</v>
      </c>
      <c r="G622" s="12">
        <f>+VLOOKUP(A622,'Undivideable Expenses'!$D$70:$AA$100,24,0)</f>
        <v>3641.3899999999994</v>
      </c>
      <c r="H622" s="12">
        <f t="shared" si="158"/>
        <v>58.555015075376872</v>
      </c>
    </row>
    <row r="625" spans="1:8" x14ac:dyDescent="0.25">
      <c r="A625" t="s">
        <v>92</v>
      </c>
    </row>
    <row r="626" spans="1:8" x14ac:dyDescent="0.25">
      <c r="A626" s="8" t="s">
        <v>6</v>
      </c>
      <c r="B626" s="8" t="s">
        <v>93</v>
      </c>
      <c r="C626" s="22" t="s">
        <v>50</v>
      </c>
      <c r="D626" s="22" t="s">
        <v>9</v>
      </c>
    </row>
    <row r="627" spans="1:8" x14ac:dyDescent="0.25">
      <c r="A627" s="6">
        <v>45841</v>
      </c>
      <c r="B627" s="7">
        <v>3858.75</v>
      </c>
      <c r="C627" s="12">
        <f>+VLOOKUP(A627,'Undivideable Expenses'!$D$70:$AF$100,25,0)</f>
        <v>19448</v>
      </c>
      <c r="D627" s="7">
        <f t="shared" ref="D627" si="159">+B627/C627*100</f>
        <v>19.841371863430687</v>
      </c>
      <c r="G627" s="12">
        <f>+VLOOKUP(A627,'Undivideable Expenses'!$D$70:$AA$100,24,0)</f>
        <v>3367.16</v>
      </c>
      <c r="H627" s="12">
        <f t="shared" ref="H627" si="160">+G627/100*D627</f>
        <v>668.09073683669271</v>
      </c>
    </row>
    <row r="628" spans="1:8" x14ac:dyDescent="0.25">
      <c r="A628" s="6">
        <v>45842</v>
      </c>
      <c r="B628" s="7">
        <v>2901.25</v>
      </c>
      <c r="C628" s="12">
        <f>+VLOOKUP(A628,'Undivideable Expenses'!$D$70:$AF$100,25,0)</f>
        <v>20227</v>
      </c>
      <c r="D628" s="7">
        <f t="shared" ref="D628:D636" si="161">+B628/C628*100</f>
        <v>14.343451821822317</v>
      </c>
      <c r="G628" s="12">
        <f>+VLOOKUP(A628,'Undivideable Expenses'!$D$70:$AA$100,24,0)</f>
        <v>3899.57</v>
      </c>
      <c r="H628" s="12">
        <f t="shared" ref="H628:H636" si="162">+G628/100*D628</f>
        <v>559.33294420823654</v>
      </c>
    </row>
    <row r="629" spans="1:8" x14ac:dyDescent="0.25">
      <c r="A629" s="6">
        <v>45843</v>
      </c>
      <c r="B629" s="7">
        <v>101.25</v>
      </c>
      <c r="C629" s="12">
        <f>+VLOOKUP(A629,'Undivideable Expenses'!$D$70:$AF$100,25,0)</f>
        <v>15316.25</v>
      </c>
      <c r="D629" s="7">
        <f t="shared" si="161"/>
        <v>0.66106259691504121</v>
      </c>
      <c r="G629" s="12">
        <f>+VLOOKUP(A629,'Undivideable Expenses'!$D$70:$AA$100,24,0)</f>
        <v>3221.15</v>
      </c>
      <c r="H629" s="12">
        <f t="shared" si="162"/>
        <v>21.293817840528849</v>
      </c>
    </row>
    <row r="630" spans="1:8" x14ac:dyDescent="0.25">
      <c r="A630" s="6">
        <v>45845</v>
      </c>
      <c r="B630" s="7">
        <v>1862.5</v>
      </c>
      <c r="C630" s="12">
        <f>+VLOOKUP(A630,'Undivideable Expenses'!$D$70:$AF$100,25,0)</f>
        <v>19340.25</v>
      </c>
      <c r="D630" s="7">
        <f t="shared" si="161"/>
        <v>9.6301754113829965</v>
      </c>
      <c r="G630" s="12">
        <f>+VLOOKUP(A630,'Undivideable Expenses'!$D$70:$AA$100,24,0)</f>
        <v>3082.0699999999997</v>
      </c>
      <c r="H630" s="12">
        <f t="shared" si="162"/>
        <v>296.8087473016119</v>
      </c>
    </row>
    <row r="631" spans="1:8" x14ac:dyDescent="0.25">
      <c r="A631" s="6">
        <v>45846</v>
      </c>
      <c r="B631" s="7">
        <v>3795</v>
      </c>
      <c r="C631" s="12">
        <f>+VLOOKUP(A631,'Undivideable Expenses'!$D$70:$AF$100,25,0)</f>
        <v>20686</v>
      </c>
      <c r="D631" s="7">
        <f t="shared" si="161"/>
        <v>18.345741080924295</v>
      </c>
      <c r="G631" s="12">
        <f>+VLOOKUP(A631,'Undivideable Expenses'!$D$70:$AA$100,24,0)</f>
        <v>4242.09</v>
      </c>
      <c r="H631" s="12">
        <f t="shared" si="162"/>
        <v>778.24284781978145</v>
      </c>
    </row>
    <row r="632" spans="1:8" x14ac:dyDescent="0.25">
      <c r="A632" s="6">
        <v>45847</v>
      </c>
      <c r="B632" s="7">
        <v>3251.25</v>
      </c>
      <c r="C632" s="12">
        <f>+VLOOKUP(A632,'Undivideable Expenses'!$D$70:$AF$100,25,0)</f>
        <v>21121.375</v>
      </c>
      <c r="D632" s="7">
        <f t="shared" si="161"/>
        <v>15.393173976599533</v>
      </c>
      <c r="G632" s="12">
        <f>+VLOOKUP(A632,'Undivideable Expenses'!$D$70:$AA$100,24,0)</f>
        <v>3004</v>
      </c>
      <c r="H632" s="12">
        <f t="shared" si="162"/>
        <v>462.41094625704994</v>
      </c>
    </row>
    <row r="633" spans="1:8" x14ac:dyDescent="0.25">
      <c r="A633" s="6">
        <v>45848</v>
      </c>
      <c r="B633" s="7">
        <v>2201.25</v>
      </c>
      <c r="C633" s="12">
        <f>+VLOOKUP(A633,'Undivideable Expenses'!$D$70:$AF$100,25,0)</f>
        <v>19639</v>
      </c>
      <c r="D633" s="7">
        <f t="shared" si="161"/>
        <v>11.208564590865116</v>
      </c>
      <c r="G633" s="12">
        <f>+VLOOKUP(A633,'Undivideable Expenses'!$D$70:$AA$100,24,0)</f>
        <v>3771.3500000000004</v>
      </c>
      <c r="H633" s="12">
        <f t="shared" si="162"/>
        <v>422.71420069759159</v>
      </c>
    </row>
    <row r="634" spans="1:8" x14ac:dyDescent="0.25">
      <c r="A634" s="6">
        <v>45852</v>
      </c>
      <c r="B634" s="7">
        <v>632.5</v>
      </c>
      <c r="C634" s="12">
        <f>+VLOOKUP(A634,'Undivideable Expenses'!$D$70:$AF$100,25,0)</f>
        <v>18976.25</v>
      </c>
      <c r="D634" s="7">
        <f t="shared" si="161"/>
        <v>3.33311376062183</v>
      </c>
      <c r="G634" s="12">
        <f>+VLOOKUP(A634,'Undivideable Expenses'!$D$70:$AA$100,24,0)</f>
        <v>4415.74</v>
      </c>
      <c r="H634" s="12">
        <f t="shared" si="162"/>
        <v>147.18163757328239</v>
      </c>
    </row>
    <row r="635" spans="1:8" x14ac:dyDescent="0.25">
      <c r="A635" s="6">
        <v>45854</v>
      </c>
      <c r="B635" s="7">
        <v>172.5</v>
      </c>
      <c r="C635" s="12">
        <f>+VLOOKUP(A635,'Undivideable Expenses'!$D$70:$AF$100,25,0)</f>
        <v>19583.5</v>
      </c>
      <c r="D635" s="7">
        <f t="shared" si="161"/>
        <v>0.8808435672887891</v>
      </c>
      <c r="G635" s="12">
        <f>+VLOOKUP(A635,'Undivideable Expenses'!$D$70:$AA$100,24,0)</f>
        <v>4437.7</v>
      </c>
      <c r="H635" s="12">
        <f t="shared" si="162"/>
        <v>39.089194985574586</v>
      </c>
    </row>
    <row r="636" spans="1:8" x14ac:dyDescent="0.25">
      <c r="A636" s="6">
        <v>45863</v>
      </c>
      <c r="B636" s="7">
        <v>100</v>
      </c>
      <c r="C636" s="12">
        <f>+VLOOKUP(A636,'Undivideable Expenses'!$D$70:$AF$100,25,0)</f>
        <v>20752</v>
      </c>
      <c r="D636" s="7">
        <f t="shared" si="161"/>
        <v>0.48188126445643797</v>
      </c>
      <c r="G636" s="12">
        <f>+VLOOKUP(A636,'Undivideable Expenses'!$D$70:$AA$100,24,0)</f>
        <v>3891.1500000000005</v>
      </c>
      <c r="H636" s="12">
        <f t="shared" si="162"/>
        <v>18.750722821896687</v>
      </c>
    </row>
    <row r="637" spans="1:8" x14ac:dyDescent="0.25">
      <c r="A637" s="6"/>
      <c r="B637" s="7"/>
      <c r="C637" s="12"/>
      <c r="D637" s="7"/>
      <c r="G637" s="12"/>
      <c r="H637" s="12"/>
    </row>
    <row r="639" spans="1:8" x14ac:dyDescent="0.25">
      <c r="A639" s="11" t="s">
        <v>94</v>
      </c>
    </row>
    <row r="640" spans="1:8" x14ac:dyDescent="0.25">
      <c r="A640" s="8" t="s">
        <v>6</v>
      </c>
      <c r="B640" s="8" t="s">
        <v>95</v>
      </c>
      <c r="C640" s="22" t="s">
        <v>50</v>
      </c>
      <c r="D640" s="22" t="s">
        <v>9</v>
      </c>
    </row>
    <row r="641" spans="1:8" x14ac:dyDescent="0.25">
      <c r="A641" s="6">
        <v>45839</v>
      </c>
      <c r="B641" s="7">
        <v>110</v>
      </c>
      <c r="C641" s="12">
        <f>+VLOOKUP(A641,'Undivideable Expenses'!$D$70:$AF$100,25,0)</f>
        <v>19101</v>
      </c>
      <c r="D641" s="7">
        <f t="shared" ref="D641" si="163">+B641/C641*100</f>
        <v>0.57588607926286584</v>
      </c>
      <c r="G641" s="12">
        <f>+VLOOKUP(A641,'Undivideable Expenses'!$D$70:$AA$100,24,0)</f>
        <v>3171.12</v>
      </c>
      <c r="H641" s="12">
        <f t="shared" ref="H641" si="164">+G641/100*D641</f>
        <v>18.26203863672059</v>
      </c>
    </row>
    <row r="642" spans="1:8" x14ac:dyDescent="0.25">
      <c r="A642" s="6">
        <v>45849</v>
      </c>
      <c r="B642" s="7">
        <v>275</v>
      </c>
      <c r="C642" s="12">
        <f>+VLOOKUP(A642,'Undivideable Expenses'!$D$70:$AF$100,25,0)</f>
        <v>17028.75</v>
      </c>
      <c r="D642" s="7">
        <f t="shared" ref="D642:D656" si="165">+B642/C642*100</f>
        <v>1.6149159509652793</v>
      </c>
      <c r="G642" s="12">
        <f>+VLOOKUP(A642,'Undivideable Expenses'!$D$70:$AA$100,24,0)</f>
        <v>2724.78</v>
      </c>
      <c r="H642" s="12">
        <f t="shared" ref="H642:H656" si="166">+G642/100*D642</f>
        <v>44.002906848711739</v>
      </c>
    </row>
    <row r="643" spans="1:8" x14ac:dyDescent="0.25">
      <c r="A643" s="6">
        <v>45852</v>
      </c>
      <c r="B643" s="7">
        <v>320</v>
      </c>
      <c r="C643" s="12">
        <f>+VLOOKUP(A643,'Undivideable Expenses'!$D$70:$AF$100,25,0)</f>
        <v>18976.25</v>
      </c>
      <c r="D643" s="7">
        <f t="shared" si="165"/>
        <v>1.6863184243462221</v>
      </c>
      <c r="G643" s="12">
        <f>+VLOOKUP(A643,'Undivideable Expenses'!$D$70:$AA$100,24,0)</f>
        <v>4415.74</v>
      </c>
      <c r="H643" s="12">
        <f t="shared" si="166"/>
        <v>74.463437191225864</v>
      </c>
    </row>
    <row r="644" spans="1:8" x14ac:dyDescent="0.25">
      <c r="A644" s="6">
        <v>45853</v>
      </c>
      <c r="B644" s="7">
        <v>652.5</v>
      </c>
      <c r="C644" s="12">
        <f>+VLOOKUP(A644,'Undivideable Expenses'!$D$70:$AF$100,25,0)</f>
        <v>15475</v>
      </c>
      <c r="D644" s="7">
        <f t="shared" si="165"/>
        <v>4.2164781906300481</v>
      </c>
      <c r="G644" s="12">
        <f>+VLOOKUP(A644,'Undivideable Expenses'!$D$70:$AA$100,24,0)</f>
        <v>3504.4800000000005</v>
      </c>
      <c r="H644" s="12">
        <f t="shared" si="166"/>
        <v>147.76563489499193</v>
      </c>
    </row>
    <row r="645" spans="1:8" x14ac:dyDescent="0.25">
      <c r="A645" s="6">
        <v>45854</v>
      </c>
      <c r="B645" s="7">
        <v>2401.25</v>
      </c>
      <c r="C645" s="12">
        <f>+VLOOKUP(A645,'Undivideable Expenses'!$D$70:$AF$100,25,0)</f>
        <v>19583.5</v>
      </c>
      <c r="D645" s="7">
        <f t="shared" si="165"/>
        <v>12.26159777363597</v>
      </c>
      <c r="G645" s="12">
        <f>+VLOOKUP(A645,'Undivideable Expenses'!$D$70:$AA$100,24,0)</f>
        <v>4437.7</v>
      </c>
      <c r="H645" s="12">
        <f t="shared" si="166"/>
        <v>544.13292440064333</v>
      </c>
    </row>
    <row r="646" spans="1:8" x14ac:dyDescent="0.25">
      <c r="A646" s="6">
        <v>45855</v>
      </c>
      <c r="B646" s="7">
        <v>3972.5</v>
      </c>
      <c r="C646" s="12">
        <f>+VLOOKUP(A646,'Undivideable Expenses'!$D$70:$AF$100,25,0)</f>
        <v>21265</v>
      </c>
      <c r="D646" s="7">
        <f t="shared" si="165"/>
        <v>18.680931107453564</v>
      </c>
      <c r="G646" s="12">
        <f>+VLOOKUP(A646,'Undivideable Expenses'!$D$70:$AA$100,24,0)</f>
        <v>4428.74</v>
      </c>
      <c r="H646" s="12">
        <f t="shared" si="166"/>
        <v>827.32986832823894</v>
      </c>
    </row>
    <row r="647" spans="1:8" x14ac:dyDescent="0.25">
      <c r="A647" s="6">
        <v>45856</v>
      </c>
      <c r="B647" s="7">
        <v>3737.5</v>
      </c>
      <c r="C647" s="12">
        <f>+VLOOKUP(A647,'Undivideable Expenses'!$D$70:$AF$100,25,0)</f>
        <v>22924.875</v>
      </c>
      <c r="D647" s="7">
        <f t="shared" si="165"/>
        <v>16.303251380869035</v>
      </c>
      <c r="G647" s="12">
        <f>+VLOOKUP(A647,'Undivideable Expenses'!$D$70:$AA$100,24,0)</f>
        <v>4467.2</v>
      </c>
      <c r="H647" s="12">
        <f t="shared" si="166"/>
        <v>728.29884568618149</v>
      </c>
    </row>
    <row r="648" spans="1:8" x14ac:dyDescent="0.25">
      <c r="A648" s="6">
        <v>45857</v>
      </c>
      <c r="B648" s="7">
        <v>2285</v>
      </c>
      <c r="C648" s="12">
        <f>+VLOOKUP(A648,'Undivideable Expenses'!$D$70:$AF$100,25,0)</f>
        <v>18823.75</v>
      </c>
      <c r="D648" s="7">
        <f t="shared" si="165"/>
        <v>12.138920247028356</v>
      </c>
      <c r="G648" s="12">
        <f>+VLOOKUP(A648,'Undivideable Expenses'!$D$70:$AA$100,24,0)</f>
        <v>3177.4900000000002</v>
      </c>
      <c r="H648" s="12">
        <f t="shared" si="166"/>
        <v>385.71297695730135</v>
      </c>
    </row>
    <row r="649" spans="1:8" x14ac:dyDescent="0.25">
      <c r="A649" s="6">
        <v>45859</v>
      </c>
      <c r="B649" s="7">
        <v>972.5</v>
      </c>
      <c r="C649" s="12">
        <f>+VLOOKUP(A649,'Undivideable Expenses'!$D$70:$AF$100,25,0)</f>
        <v>21283.5</v>
      </c>
      <c r="D649" s="7">
        <f t="shared" si="165"/>
        <v>4.5692672727699861</v>
      </c>
      <c r="G649" s="12">
        <f>+VLOOKUP(A649,'Undivideable Expenses'!$D$70:$AA$100,24,0)</f>
        <v>3814.75</v>
      </c>
      <c r="H649" s="12">
        <f t="shared" si="166"/>
        <v>174.30612328799305</v>
      </c>
    </row>
    <row r="650" spans="1:8" x14ac:dyDescent="0.25">
      <c r="A650" s="6">
        <v>45860</v>
      </c>
      <c r="B650" s="7">
        <v>345</v>
      </c>
      <c r="C650" s="12">
        <f>+VLOOKUP(A650,'Undivideable Expenses'!$D$70:$AF$100,25,0)</f>
        <v>21203</v>
      </c>
      <c r="D650" s="7">
        <f t="shared" si="165"/>
        <v>1.6271282365702966</v>
      </c>
      <c r="G650" s="12">
        <f>+VLOOKUP(A650,'Undivideable Expenses'!$D$70:$AA$100,24,0)</f>
        <v>3650.4799999999996</v>
      </c>
      <c r="H650" s="12">
        <f t="shared" si="166"/>
        <v>59.397990850351356</v>
      </c>
    </row>
    <row r="651" spans="1:8" x14ac:dyDescent="0.25">
      <c r="A651" s="6">
        <v>45861</v>
      </c>
      <c r="B651" s="7">
        <v>345</v>
      </c>
      <c r="C651" s="12">
        <f>+VLOOKUP(A651,'Undivideable Expenses'!$D$70:$AF$100,25,0)</f>
        <v>20952</v>
      </c>
      <c r="D651" s="7">
        <f t="shared" si="165"/>
        <v>1.6466208476517756</v>
      </c>
      <c r="G651" s="12">
        <f>+VLOOKUP(A651,'Undivideable Expenses'!$D$70:$AA$100,24,0)</f>
        <v>3887.49</v>
      </c>
      <c r="H651" s="12">
        <f t="shared" si="166"/>
        <v>64.012220790378009</v>
      </c>
    </row>
    <row r="652" spans="1:8" x14ac:dyDescent="0.25">
      <c r="A652" s="6">
        <v>45862</v>
      </c>
      <c r="B652" s="7">
        <v>552.5</v>
      </c>
      <c r="C652" s="12">
        <f>+VLOOKUP(A652,'Undivideable Expenses'!$D$70:$AF$100,25,0)</f>
        <v>20215</v>
      </c>
      <c r="D652" s="7">
        <f t="shared" si="165"/>
        <v>2.7331189710610935</v>
      </c>
      <c r="G652" s="12">
        <f>+VLOOKUP(A652,'Undivideable Expenses'!$D$70:$AA$100,24,0)</f>
        <v>3783.61</v>
      </c>
      <c r="H652" s="12">
        <f t="shared" si="166"/>
        <v>103.41056270096465</v>
      </c>
    </row>
    <row r="653" spans="1:8" x14ac:dyDescent="0.25">
      <c r="A653" s="6">
        <v>45863</v>
      </c>
      <c r="B653" s="7">
        <v>447.5</v>
      </c>
      <c r="C653" s="12">
        <f>+VLOOKUP(A653,'Undivideable Expenses'!$D$70:$AF$100,25,0)</f>
        <v>20752</v>
      </c>
      <c r="D653" s="7">
        <f t="shared" si="165"/>
        <v>2.1564186584425595</v>
      </c>
      <c r="G653" s="12">
        <f>+VLOOKUP(A653,'Undivideable Expenses'!$D$70:$AA$100,24,0)</f>
        <v>3891.1500000000005</v>
      </c>
      <c r="H653" s="12">
        <f t="shared" si="166"/>
        <v>83.909484627987666</v>
      </c>
    </row>
    <row r="654" spans="1:8" x14ac:dyDescent="0.25">
      <c r="A654" s="6">
        <v>45864</v>
      </c>
      <c r="B654" s="7">
        <v>170</v>
      </c>
      <c r="C654" s="12">
        <f>+VLOOKUP(A654,'Undivideable Expenses'!$D$70:$AF$100,25,0)</f>
        <v>20851</v>
      </c>
      <c r="D654" s="7">
        <f t="shared" si="165"/>
        <v>0.81530861829168866</v>
      </c>
      <c r="G654" s="12">
        <f>+VLOOKUP(A654,'Undivideable Expenses'!$D$70:$AA$100,24,0)</f>
        <v>4637.87</v>
      </c>
      <c r="H654" s="12">
        <f t="shared" si="166"/>
        <v>37.81295381516474</v>
      </c>
    </row>
    <row r="655" spans="1:8" x14ac:dyDescent="0.25">
      <c r="A655" s="6">
        <v>45867</v>
      </c>
      <c r="B655" s="7">
        <v>231.25</v>
      </c>
      <c r="C655" s="12">
        <f>+VLOOKUP(A655,'Undivideable Expenses'!$D$70:$AF$100,25,0)</f>
        <v>23655</v>
      </c>
      <c r="D655" s="7">
        <f t="shared" si="165"/>
        <v>0.97759458888184314</v>
      </c>
      <c r="G655" s="12">
        <f>+VLOOKUP(A655,'Undivideable Expenses'!$D$70:$AA$100,24,0)</f>
        <v>3369.74</v>
      </c>
      <c r="H655" s="12">
        <f t="shared" si="166"/>
        <v>32.942395899387016</v>
      </c>
    </row>
    <row r="656" spans="1:8" x14ac:dyDescent="0.25">
      <c r="A656" s="6">
        <v>45873</v>
      </c>
      <c r="B656" s="7">
        <v>150</v>
      </c>
      <c r="C656" s="7">
        <v>19731</v>
      </c>
      <c r="D656" s="7">
        <f t="shared" si="165"/>
        <v>0.76022502660787594</v>
      </c>
      <c r="G656" s="12">
        <v>3492.6099999999997</v>
      </c>
      <c r="H656" s="12">
        <f t="shared" si="166"/>
        <v>26.551695301809335</v>
      </c>
    </row>
    <row r="657" spans="1:8" x14ac:dyDescent="0.25">
      <c r="C657" s="7" t="s">
        <v>5</v>
      </c>
    </row>
    <row r="658" spans="1:8" x14ac:dyDescent="0.25">
      <c r="C658" s="7"/>
    </row>
    <row r="659" spans="1:8" x14ac:dyDescent="0.25">
      <c r="A659" s="11" t="s">
        <v>96</v>
      </c>
    </row>
    <row r="660" spans="1:8" x14ac:dyDescent="0.25">
      <c r="A660" s="8" t="s">
        <v>6</v>
      </c>
      <c r="B660" s="8" t="s">
        <v>97</v>
      </c>
      <c r="C660" s="22" t="s">
        <v>50</v>
      </c>
      <c r="D660" s="22" t="s">
        <v>9</v>
      </c>
    </row>
    <row r="661" spans="1:8" x14ac:dyDescent="0.25">
      <c r="A661" s="6">
        <v>45847</v>
      </c>
      <c r="B661" s="7">
        <v>4691.25</v>
      </c>
      <c r="C661" s="12">
        <f>+VLOOKUP(A661,'Undivideable Expenses'!$D$70:$AF$100,25,0)</f>
        <v>21121.375</v>
      </c>
      <c r="D661" s="7">
        <f t="shared" ref="D661" si="167">+B661/C661*100</f>
        <v>22.210911931633241</v>
      </c>
      <c r="G661" s="12">
        <f>+VLOOKUP(A661,'Undivideable Expenses'!$D$70:$AA$100,24,0)</f>
        <v>3004</v>
      </c>
      <c r="H661" s="12">
        <f t="shared" ref="H661" si="168">+G661/100*D661</f>
        <v>667.21579442626251</v>
      </c>
    </row>
    <row r="662" spans="1:8" x14ac:dyDescent="0.25">
      <c r="A662" s="6">
        <v>45848</v>
      </c>
      <c r="B662" s="7">
        <v>4261.25</v>
      </c>
      <c r="C662" s="12">
        <f>+VLOOKUP(A662,'Undivideable Expenses'!$D$70:$AF$100,25,0)</f>
        <v>19639</v>
      </c>
      <c r="D662" s="7">
        <f t="shared" ref="D662:D665" si="169">+B662/C662*100</f>
        <v>21.697897041600896</v>
      </c>
      <c r="G662" s="12">
        <f>+VLOOKUP(A662,'Undivideable Expenses'!$D$70:$AA$100,24,0)</f>
        <v>3771.3500000000004</v>
      </c>
      <c r="H662" s="12">
        <f t="shared" ref="H662:H665" si="170">+G662/100*D662</f>
        <v>818.30364007841547</v>
      </c>
    </row>
    <row r="663" spans="1:8" x14ac:dyDescent="0.25">
      <c r="A663" s="6">
        <v>45849</v>
      </c>
      <c r="B663" s="7">
        <v>1335</v>
      </c>
      <c r="C663" s="12">
        <f>+VLOOKUP(A663,'Undivideable Expenses'!$D$70:$AF$100,25,0)</f>
        <v>17028.75</v>
      </c>
      <c r="D663" s="7">
        <f t="shared" si="169"/>
        <v>7.8396828892314474</v>
      </c>
      <c r="G663" s="12">
        <f>+VLOOKUP(A663,'Undivideable Expenses'!$D$70:$AA$100,24,0)</f>
        <v>2724.78</v>
      </c>
      <c r="H663" s="12">
        <f t="shared" si="170"/>
        <v>213.61411142920065</v>
      </c>
    </row>
    <row r="664" spans="1:8" x14ac:dyDescent="0.25">
      <c r="A664" s="6">
        <v>45855</v>
      </c>
      <c r="B664" s="7">
        <v>230</v>
      </c>
      <c r="C664" s="12">
        <f>+VLOOKUP(A664,'Undivideable Expenses'!$D$70:$AF$100,25,0)</f>
        <v>21265</v>
      </c>
      <c r="D664" s="7">
        <f t="shared" si="169"/>
        <v>1.0815894662591112</v>
      </c>
      <c r="G664" s="12">
        <f>+VLOOKUP(A664,'Undivideable Expenses'!$D$70:$AA$100,24,0)</f>
        <v>4428.74</v>
      </c>
      <c r="H664" s="12">
        <f t="shared" si="170"/>
        <v>47.900785328003764</v>
      </c>
    </row>
    <row r="665" spans="1:8" x14ac:dyDescent="0.25">
      <c r="A665" s="6">
        <v>45856</v>
      </c>
      <c r="B665" s="7">
        <v>125</v>
      </c>
      <c r="C665" s="12">
        <f>+VLOOKUP(A665,'Undivideable Expenses'!$D$70:$AF$100,25,0)</f>
        <v>22924.875</v>
      </c>
      <c r="D665" s="7">
        <f t="shared" si="169"/>
        <v>0.54525924350732557</v>
      </c>
      <c r="G665" s="12">
        <f>+VLOOKUP(A665,'Undivideable Expenses'!$D$70:$AA$100,24,0)</f>
        <v>4467.2</v>
      </c>
      <c r="H665" s="12">
        <f t="shared" si="170"/>
        <v>24.357820925959246</v>
      </c>
    </row>
    <row r="669" spans="1:8" x14ac:dyDescent="0.25">
      <c r="A669" s="11" t="s">
        <v>98</v>
      </c>
    </row>
    <row r="670" spans="1:8" x14ac:dyDescent="0.25">
      <c r="A670" s="8" t="s">
        <v>6</v>
      </c>
      <c r="B670" s="8" t="s">
        <v>99</v>
      </c>
      <c r="C670" s="22" t="s">
        <v>50</v>
      </c>
      <c r="D670" s="22" t="s">
        <v>9</v>
      </c>
    </row>
    <row r="671" spans="1:8" x14ac:dyDescent="0.25">
      <c r="A671" s="6">
        <v>45842</v>
      </c>
      <c r="B671" s="7">
        <v>995</v>
      </c>
      <c r="C671" s="12">
        <f>+VLOOKUP(A671,'Undivideable Expenses'!$D$70:$AF$100,25,0)</f>
        <v>20227</v>
      </c>
      <c r="D671" s="7">
        <f t="shared" ref="D671" si="171">+B671/C671*100</f>
        <v>4.9191674494487563</v>
      </c>
      <c r="G671" s="12">
        <f>+VLOOKUP(A671,'Undivideable Expenses'!$D$70:$AA$100,24,0)</f>
        <v>3899.57</v>
      </c>
      <c r="H671" s="12">
        <f t="shared" ref="H671" si="172">+G671/100*D671</f>
        <v>191.82637810846887</v>
      </c>
    </row>
    <row r="672" spans="1:8" x14ac:dyDescent="0.25">
      <c r="A672" s="6">
        <v>45843</v>
      </c>
      <c r="B672" s="7">
        <v>5790</v>
      </c>
      <c r="C672" s="12">
        <f>+VLOOKUP(A672,'Undivideable Expenses'!$D$70:$AF$100,25,0)</f>
        <v>15316.25</v>
      </c>
      <c r="D672" s="7">
        <f t="shared" ref="D672:D683" si="173">+B672/C672*100</f>
        <v>37.802987023586063</v>
      </c>
      <c r="G672" s="12">
        <f>+VLOOKUP(A672,'Undivideable Expenses'!$D$70:$AA$100,24,0)</f>
        <v>3221.15</v>
      </c>
      <c r="H672" s="12">
        <f t="shared" ref="H672:H683" si="174">+G672/100*D672</f>
        <v>1217.6909165102425</v>
      </c>
    </row>
    <row r="673" spans="1:8" x14ac:dyDescent="0.25">
      <c r="A673" s="6">
        <v>45845</v>
      </c>
      <c r="B673" s="7">
        <v>4843.75</v>
      </c>
      <c r="C673" s="12">
        <f>+VLOOKUP(A673,'Undivideable Expenses'!$D$70:$AF$100,25,0)</f>
        <v>19340.25</v>
      </c>
      <c r="D673" s="7">
        <f t="shared" si="173"/>
        <v>25.044919274569871</v>
      </c>
      <c r="G673" s="12">
        <f>+VLOOKUP(A673,'Undivideable Expenses'!$D$70:$AA$100,24,0)</f>
        <v>3082.0699999999997</v>
      </c>
      <c r="H673" s="12">
        <f t="shared" si="174"/>
        <v>771.90194348573561</v>
      </c>
    </row>
    <row r="674" spans="1:8" x14ac:dyDescent="0.25">
      <c r="A674" s="6">
        <v>45846</v>
      </c>
      <c r="B674" s="7">
        <v>1413.75</v>
      </c>
      <c r="C674" s="12">
        <f>+VLOOKUP(A674,'Undivideable Expenses'!$D$70:$AF$100,25,0)</f>
        <v>20686</v>
      </c>
      <c r="D674" s="7">
        <f t="shared" si="173"/>
        <v>6.8343323987237747</v>
      </c>
      <c r="G674" s="12">
        <f>+VLOOKUP(A674,'Undivideable Expenses'!$D$70:$AA$100,24,0)</f>
        <v>4242.09</v>
      </c>
      <c r="H674" s="12">
        <f t="shared" si="174"/>
        <v>289.9185312530214</v>
      </c>
    </row>
    <row r="675" spans="1:8" x14ac:dyDescent="0.25">
      <c r="A675" s="6">
        <v>45847</v>
      </c>
      <c r="B675" s="7">
        <v>121.25</v>
      </c>
      <c r="C675" s="12">
        <f>+VLOOKUP(A675,'Undivideable Expenses'!$D$70:$AF$100,25,0)</f>
        <v>21121.375</v>
      </c>
      <c r="D675" s="7">
        <f t="shared" si="173"/>
        <v>0.57406300489433093</v>
      </c>
      <c r="G675" s="12">
        <f>+VLOOKUP(A675,'Undivideable Expenses'!$D$70:$AA$100,24,0)</f>
        <v>3004</v>
      </c>
      <c r="H675" s="12">
        <f t="shared" si="174"/>
        <v>17.2448526670257</v>
      </c>
    </row>
    <row r="676" spans="1:8" x14ac:dyDescent="0.25">
      <c r="A676" s="6">
        <v>45851</v>
      </c>
      <c r="B676" s="7">
        <v>578.33333333333337</v>
      </c>
      <c r="C676" s="12">
        <f>+VLOOKUP(A676,'Undivideable Expenses'!$D$70:$AF$100,25,0)</f>
        <v>15100</v>
      </c>
      <c r="D676" s="7">
        <f t="shared" si="173"/>
        <v>3.8300220750551879</v>
      </c>
      <c r="G676" s="12">
        <f>+VLOOKUP(A676,'Undivideable Expenses'!$D$70:$AA$100,24,0)</f>
        <v>3895.2000000000003</v>
      </c>
      <c r="H676" s="12">
        <f t="shared" si="174"/>
        <v>149.18701986754971</v>
      </c>
    </row>
    <row r="677" spans="1:8" x14ac:dyDescent="0.25">
      <c r="A677" s="6">
        <v>45852</v>
      </c>
      <c r="B677" s="7">
        <v>1560</v>
      </c>
      <c r="C677" s="12">
        <f>+VLOOKUP(A677,'Undivideable Expenses'!$D$70:$AF$100,25,0)</f>
        <v>18976.25</v>
      </c>
      <c r="D677" s="7">
        <f t="shared" si="173"/>
        <v>8.2208023186878343</v>
      </c>
      <c r="G677" s="12">
        <f>+VLOOKUP(A677,'Undivideable Expenses'!$D$70:$AA$100,24,0)</f>
        <v>4415.74</v>
      </c>
      <c r="H677" s="12">
        <f t="shared" si="174"/>
        <v>363.00925630722611</v>
      </c>
    </row>
    <row r="678" spans="1:8" x14ac:dyDescent="0.25">
      <c r="A678" s="6">
        <v>45853</v>
      </c>
      <c r="B678" s="7">
        <v>1710</v>
      </c>
      <c r="C678" s="12">
        <f>+VLOOKUP(A678,'Undivideable Expenses'!$D$70:$AF$100,25,0)</f>
        <v>15475</v>
      </c>
      <c r="D678" s="7">
        <f t="shared" si="173"/>
        <v>11.050080775444265</v>
      </c>
      <c r="G678" s="12">
        <f>+VLOOKUP(A678,'Undivideable Expenses'!$D$70:$AA$100,24,0)</f>
        <v>3504.4800000000005</v>
      </c>
      <c r="H678" s="12">
        <f t="shared" si="174"/>
        <v>387.24787075928919</v>
      </c>
    </row>
    <row r="679" spans="1:8" x14ac:dyDescent="0.25">
      <c r="A679" s="6">
        <v>45854</v>
      </c>
      <c r="B679" s="7">
        <v>3441.25</v>
      </c>
      <c r="C679" s="12">
        <f>+VLOOKUP(A679,'Undivideable Expenses'!$D$70:$AF$100,25,0)</f>
        <v>19583.5</v>
      </c>
      <c r="D679" s="7">
        <f t="shared" si="173"/>
        <v>17.572190874971277</v>
      </c>
      <c r="G679" s="12">
        <f>+VLOOKUP(A679,'Undivideable Expenses'!$D$70:$AA$100,24,0)</f>
        <v>4437.7</v>
      </c>
      <c r="H679" s="12">
        <f t="shared" si="174"/>
        <v>779.8011144586003</v>
      </c>
    </row>
    <row r="680" spans="1:8" x14ac:dyDescent="0.25">
      <c r="A680" s="6">
        <v>45855</v>
      </c>
      <c r="B680" s="7">
        <v>2833.75</v>
      </c>
      <c r="C680" s="12">
        <f>+VLOOKUP(A680,'Undivideable Expenses'!$D$70:$AF$100,25,0)</f>
        <v>21265</v>
      </c>
      <c r="D680" s="7">
        <f t="shared" si="173"/>
        <v>13.325887608746767</v>
      </c>
      <c r="G680" s="12">
        <f>+VLOOKUP(A680,'Undivideable Expenses'!$D$70:$AA$100,24,0)</f>
        <v>4428.74</v>
      </c>
      <c r="H680" s="12">
        <f t="shared" si="174"/>
        <v>590.16891488361148</v>
      </c>
    </row>
    <row r="681" spans="1:8" x14ac:dyDescent="0.25">
      <c r="A681" s="6">
        <v>45856</v>
      </c>
      <c r="B681" s="7">
        <v>2330</v>
      </c>
      <c r="C681" s="12">
        <f>+VLOOKUP(A681,'Undivideable Expenses'!$D$70:$AF$100,25,0)</f>
        <v>22924.875</v>
      </c>
      <c r="D681" s="7">
        <f t="shared" si="173"/>
        <v>10.163632298976548</v>
      </c>
      <c r="G681" s="12">
        <f>+VLOOKUP(A681,'Undivideable Expenses'!$D$70:$AA$100,24,0)</f>
        <v>4467.2</v>
      </c>
      <c r="H681" s="12">
        <f t="shared" si="174"/>
        <v>454.02978205988035</v>
      </c>
    </row>
    <row r="682" spans="1:8" x14ac:dyDescent="0.25">
      <c r="A682" s="6">
        <v>45857</v>
      </c>
      <c r="B682" s="7">
        <v>783.75</v>
      </c>
      <c r="C682" s="12">
        <f>+VLOOKUP(A682,'Undivideable Expenses'!$D$70:$AF$100,25,0)</f>
        <v>18823.75</v>
      </c>
      <c r="D682" s="7">
        <f t="shared" si="173"/>
        <v>4.1636230825420011</v>
      </c>
      <c r="G682" s="12">
        <f>+VLOOKUP(A682,'Undivideable Expenses'!$D$70:$AA$100,24,0)</f>
        <v>3177.4900000000002</v>
      </c>
      <c r="H682" s="12">
        <f t="shared" si="174"/>
        <v>132.29870708546383</v>
      </c>
    </row>
    <row r="683" spans="1:8" x14ac:dyDescent="0.25">
      <c r="A683" s="6">
        <v>45861</v>
      </c>
      <c r="B683" s="7">
        <v>345</v>
      </c>
      <c r="C683" s="12">
        <f>+VLOOKUP(A683,'Undivideable Expenses'!$D$70:$AF$100,25,0)</f>
        <v>20952</v>
      </c>
      <c r="D683" s="7">
        <f t="shared" si="173"/>
        <v>1.6466208476517756</v>
      </c>
      <c r="G683" s="12">
        <f>+VLOOKUP(A683,'Undivideable Expenses'!$D$70:$AA$100,24,0)</f>
        <v>3887.49</v>
      </c>
      <c r="H683" s="12">
        <f t="shared" si="174"/>
        <v>64.012220790378009</v>
      </c>
    </row>
    <row r="686" spans="1:8" x14ac:dyDescent="0.25">
      <c r="A686" s="11" t="s">
        <v>100</v>
      </c>
    </row>
    <row r="687" spans="1:8" x14ac:dyDescent="0.25">
      <c r="A687" s="8" t="s">
        <v>6</v>
      </c>
      <c r="B687" s="8" t="s">
        <v>101</v>
      </c>
      <c r="C687" s="22" t="s">
        <v>50</v>
      </c>
      <c r="D687" s="22" t="s">
        <v>9</v>
      </c>
    </row>
    <row r="688" spans="1:8" x14ac:dyDescent="0.25">
      <c r="A688" s="6">
        <v>45847</v>
      </c>
      <c r="B688" s="7">
        <v>270</v>
      </c>
      <c r="C688" s="12">
        <f>+VLOOKUP(A688,'Undivideable Expenses'!$D$70:$AF$100,25,0)</f>
        <v>21121.375</v>
      </c>
      <c r="D688" s="7">
        <f t="shared" ref="D688" si="175">+B688/C688*100</f>
        <v>1.2783258665688195</v>
      </c>
      <c r="G688" s="12">
        <f>+VLOOKUP(A688,'Undivideable Expenses'!$D$70:$AA$100,24,0)</f>
        <v>3004</v>
      </c>
      <c r="H688" s="12">
        <f t="shared" ref="H688" si="176">+G688/100*D688</f>
        <v>38.400909031727338</v>
      </c>
    </row>
    <row r="689" spans="1:8" x14ac:dyDescent="0.25">
      <c r="A689" s="6">
        <v>45848</v>
      </c>
      <c r="B689" s="7">
        <v>455</v>
      </c>
      <c r="C689" s="12">
        <f>+VLOOKUP(A689,'Undivideable Expenses'!$D$70:$AF$100,25,0)</f>
        <v>19639</v>
      </c>
      <c r="D689" s="7">
        <f t="shared" ref="D689:D692" si="177">+B689/C689*100</f>
        <v>2.3168185752838739</v>
      </c>
      <c r="G689" s="12">
        <f>+VLOOKUP(A689,'Undivideable Expenses'!$D$70:$AA$100,24,0)</f>
        <v>3771.3500000000004</v>
      </c>
      <c r="H689" s="12">
        <f t="shared" ref="H689:H692" si="178">+G689/100*D689</f>
        <v>87.375337338968393</v>
      </c>
    </row>
    <row r="690" spans="1:8" x14ac:dyDescent="0.25">
      <c r="A690" s="6">
        <v>45849</v>
      </c>
      <c r="B690" s="7">
        <v>1248.75</v>
      </c>
      <c r="C690" s="12">
        <f>+VLOOKUP(A690,'Undivideable Expenses'!$D$70:$AF$100,25,0)</f>
        <v>17028.75</v>
      </c>
      <c r="D690" s="7">
        <f t="shared" si="177"/>
        <v>7.333186522792337</v>
      </c>
      <c r="G690" s="12">
        <f>+VLOOKUP(A690,'Undivideable Expenses'!$D$70:$AA$100,24,0)</f>
        <v>2724.78</v>
      </c>
      <c r="H690" s="12">
        <f t="shared" si="178"/>
        <v>199.81319973574105</v>
      </c>
    </row>
    <row r="691" spans="1:8" x14ac:dyDescent="0.25">
      <c r="A691" s="6">
        <v>45850</v>
      </c>
      <c r="B691" s="7">
        <v>1520</v>
      </c>
      <c r="C691" s="12">
        <f>+VLOOKUP(A691,'Undivideable Expenses'!$D$70:$AF$100,25,0)</f>
        <v>21448</v>
      </c>
      <c r="D691" s="7">
        <f t="shared" si="177"/>
        <v>7.0869078701976864</v>
      </c>
      <c r="G691" s="12">
        <f>+VLOOKUP(A691,'Undivideable Expenses'!$D$70:$AA$100,24,0)</f>
        <v>4271.17</v>
      </c>
      <c r="H691" s="12">
        <f t="shared" si="178"/>
        <v>302.6938828795225</v>
      </c>
    </row>
    <row r="692" spans="1:8" x14ac:dyDescent="0.25">
      <c r="A692" s="6">
        <v>45854</v>
      </c>
      <c r="B692" s="7">
        <v>287.5</v>
      </c>
      <c r="C692" s="12">
        <f>+VLOOKUP(A692,'Undivideable Expenses'!$D$70:$AF$100,25,0)</f>
        <v>19583.5</v>
      </c>
      <c r="D692" s="7">
        <f t="shared" si="177"/>
        <v>1.4680726121479817</v>
      </c>
      <c r="G692" s="12">
        <f>+VLOOKUP(A692,'Undivideable Expenses'!$D$70:$AA$100,24,0)</f>
        <v>4437.7</v>
      </c>
      <c r="H692" s="12">
        <f t="shared" si="178"/>
        <v>65.14865830929098</v>
      </c>
    </row>
    <row r="695" spans="1:8" x14ac:dyDescent="0.25">
      <c r="A695" t="s">
        <v>102</v>
      </c>
    </row>
    <row r="696" spans="1:8" x14ac:dyDescent="0.25">
      <c r="A696" s="8" t="s">
        <v>6</v>
      </c>
      <c r="B696" s="8" t="s">
        <v>103</v>
      </c>
      <c r="C696" s="22" t="s">
        <v>50</v>
      </c>
      <c r="D696" s="22" t="s">
        <v>9</v>
      </c>
    </row>
    <row r="697" spans="1:8" x14ac:dyDescent="0.25">
      <c r="A697" s="6">
        <v>45849</v>
      </c>
      <c r="B697" s="7">
        <v>1031.25</v>
      </c>
      <c r="C697" s="12">
        <f>+VLOOKUP(A697,'Undivideable Expenses'!$D$70:$AF$100,25,0)</f>
        <v>17028.75</v>
      </c>
      <c r="D697" s="7">
        <f t="shared" ref="D697" si="179">+B697/C697*100</f>
        <v>6.0559348161197972</v>
      </c>
      <c r="G697" s="12">
        <f>+VLOOKUP(A697,'Undivideable Expenses'!$D$70:$AA$100,24,0)</f>
        <v>2724.78</v>
      </c>
      <c r="H697" s="12">
        <f t="shared" ref="H697" si="180">+G697/100*D697</f>
        <v>165.01090068266902</v>
      </c>
    </row>
    <row r="698" spans="1:8" x14ac:dyDescent="0.25">
      <c r="A698" s="6">
        <v>45850</v>
      </c>
      <c r="B698" s="7">
        <v>4278.75</v>
      </c>
      <c r="C698" s="12">
        <f>+VLOOKUP(A698,'Undivideable Expenses'!$D$70:$AF$100,25,0)</f>
        <v>21448</v>
      </c>
      <c r="D698" s="7">
        <f t="shared" ref="D698:D709" si="181">+B698/C698*100</f>
        <v>19.949412532637076</v>
      </c>
      <c r="G698" s="12">
        <f>+VLOOKUP(A698,'Undivideable Expenses'!$D$70:$AA$100,24,0)</f>
        <v>4271.17</v>
      </c>
      <c r="H698" s="12">
        <f t="shared" ref="H698:H709" si="182">+G698/100*D698</f>
        <v>852.07332327023505</v>
      </c>
    </row>
    <row r="699" spans="1:8" x14ac:dyDescent="0.25">
      <c r="A699" s="6">
        <v>45851</v>
      </c>
      <c r="B699" s="7">
        <v>4148.333333333333</v>
      </c>
      <c r="C699" s="12">
        <f>+VLOOKUP(A699,'Undivideable Expenses'!$D$70:$AF$100,25,0)</f>
        <v>15100</v>
      </c>
      <c r="D699" s="7">
        <f t="shared" si="181"/>
        <v>27.472406181015451</v>
      </c>
      <c r="G699" s="12">
        <f>+VLOOKUP(A699,'Undivideable Expenses'!$D$70:$AA$100,24,0)</f>
        <v>3895.2000000000003</v>
      </c>
      <c r="H699" s="12">
        <f t="shared" si="182"/>
        <v>1070.105165562914</v>
      </c>
    </row>
    <row r="700" spans="1:8" x14ac:dyDescent="0.25">
      <c r="A700" s="6">
        <v>45852</v>
      </c>
      <c r="B700" s="7">
        <v>6501.25</v>
      </c>
      <c r="C700" s="12">
        <f>+VLOOKUP(A700,'Undivideable Expenses'!$D$70:$AF$100,25,0)</f>
        <v>18976.25</v>
      </c>
      <c r="D700" s="7">
        <f t="shared" si="181"/>
        <v>34.259930175877741</v>
      </c>
      <c r="G700" s="12">
        <f>+VLOOKUP(A700,'Undivideable Expenses'!$D$70:$AA$100,24,0)</f>
        <v>4415.74</v>
      </c>
      <c r="H700" s="12">
        <f t="shared" si="182"/>
        <v>1512.8294407483036</v>
      </c>
    </row>
    <row r="701" spans="1:8" x14ac:dyDescent="0.25">
      <c r="A701" s="6">
        <v>45853</v>
      </c>
      <c r="B701" s="7">
        <v>4616.25</v>
      </c>
      <c r="C701" s="12">
        <f>+VLOOKUP(A701,'Undivideable Expenses'!$D$70:$AF$100,25,0)</f>
        <v>15475</v>
      </c>
      <c r="D701" s="7">
        <f t="shared" si="181"/>
        <v>29.830371567043617</v>
      </c>
      <c r="G701" s="12">
        <f>+VLOOKUP(A701,'Undivideable Expenses'!$D$70:$AA$100,24,0)</f>
        <v>3504.4800000000005</v>
      </c>
      <c r="H701" s="12">
        <f t="shared" si="182"/>
        <v>1045.3994054927302</v>
      </c>
    </row>
    <row r="702" spans="1:8" x14ac:dyDescent="0.25">
      <c r="A702" s="6">
        <v>45854</v>
      </c>
      <c r="B702" s="7">
        <v>4243.75</v>
      </c>
      <c r="C702" s="12">
        <f>+VLOOKUP(A702,'Undivideable Expenses'!$D$70:$AF$100,25,0)</f>
        <v>19583.5</v>
      </c>
      <c r="D702" s="7">
        <f t="shared" si="181"/>
        <v>21.670028340184338</v>
      </c>
      <c r="G702" s="12">
        <f>+VLOOKUP(A702,'Undivideable Expenses'!$D$70:$AA$100,24,0)</f>
        <v>4437.7</v>
      </c>
      <c r="H702" s="12">
        <f t="shared" si="182"/>
        <v>961.65084765236031</v>
      </c>
    </row>
    <row r="703" spans="1:8" x14ac:dyDescent="0.25">
      <c r="A703" s="6">
        <v>45855</v>
      </c>
      <c r="B703" s="7">
        <v>3058.75</v>
      </c>
      <c r="C703" s="12">
        <f>+VLOOKUP(A703,'Undivideable Expenses'!$D$70:$AF$100,25,0)</f>
        <v>21265</v>
      </c>
      <c r="D703" s="7">
        <f t="shared" si="181"/>
        <v>14.383964260521983</v>
      </c>
      <c r="G703" s="12">
        <f>+VLOOKUP(A703,'Undivideable Expenses'!$D$70:$AA$100,24,0)</f>
        <v>4428.74</v>
      </c>
      <c r="H703" s="12">
        <f t="shared" si="182"/>
        <v>637.02837879144124</v>
      </c>
    </row>
    <row r="704" spans="1:8" x14ac:dyDescent="0.25">
      <c r="A704" s="6">
        <v>45856</v>
      </c>
      <c r="B704" s="7">
        <v>125</v>
      </c>
      <c r="C704" s="12">
        <f>+VLOOKUP(A704,'Undivideable Expenses'!$D$70:$AF$100,25,0)</f>
        <v>22924.875</v>
      </c>
      <c r="D704" s="7">
        <f t="shared" si="181"/>
        <v>0.54525924350732557</v>
      </c>
      <c r="G704" s="12">
        <f>+VLOOKUP(A704,'Undivideable Expenses'!$D$70:$AA$100,24,0)</f>
        <v>4467.2</v>
      </c>
      <c r="H704" s="12">
        <f t="shared" si="182"/>
        <v>24.357820925959246</v>
      </c>
    </row>
    <row r="705" spans="1:8" x14ac:dyDescent="0.25">
      <c r="A705" s="6">
        <v>45861</v>
      </c>
      <c r="B705" s="7">
        <v>115</v>
      </c>
      <c r="C705" s="12">
        <f>+VLOOKUP(A705,'Undivideable Expenses'!$D$70:$AF$100,25,0)</f>
        <v>20952</v>
      </c>
      <c r="D705" s="7">
        <f t="shared" si="181"/>
        <v>0.54887361588392514</v>
      </c>
      <c r="G705" s="12">
        <f>+VLOOKUP(A705,'Undivideable Expenses'!$D$70:$AA$100,24,0)</f>
        <v>3887.49</v>
      </c>
      <c r="H705" s="12">
        <f t="shared" si="182"/>
        <v>21.337406930126001</v>
      </c>
    </row>
    <row r="706" spans="1:8" x14ac:dyDescent="0.25">
      <c r="A706" s="6">
        <v>45870</v>
      </c>
      <c r="B706" s="7">
        <v>150</v>
      </c>
      <c r="C706">
        <f>+VLOOKUP(A706,'Undivideable Expenses'!$D$104:$AF$134,25,0)</f>
        <v>24640</v>
      </c>
      <c r="D706" s="7">
        <f t="shared" si="181"/>
        <v>0.60876623376623384</v>
      </c>
      <c r="G706" s="12">
        <f>+VLOOKUP(A706,'Undivideable Expenses'!$D$104:$AA$134,24,0)</f>
        <v>4191.45</v>
      </c>
      <c r="H706" s="12">
        <f t="shared" si="182"/>
        <v>25.516132305194805</v>
      </c>
    </row>
    <row r="707" spans="1:8" x14ac:dyDescent="0.25">
      <c r="A707" s="6">
        <v>45874</v>
      </c>
      <c r="B707" s="7">
        <v>117.5</v>
      </c>
      <c r="C707">
        <f>+VLOOKUP(A707,'Undivideable Expenses'!$D$104:$AF$134,25,0)</f>
        <v>22530</v>
      </c>
      <c r="D707" s="7">
        <f t="shared" si="181"/>
        <v>0.52152685308477587</v>
      </c>
      <c r="G707" s="12">
        <f>+VLOOKUP(A707,'Undivideable Expenses'!$D$104:$AA$134,24,0)</f>
        <v>3340.7999999999997</v>
      </c>
      <c r="H707" s="12">
        <f t="shared" si="182"/>
        <v>17.423169107856189</v>
      </c>
    </row>
    <row r="708" spans="1:8" x14ac:dyDescent="0.25">
      <c r="A708" s="6">
        <v>45875</v>
      </c>
      <c r="B708" s="7">
        <v>746.25</v>
      </c>
      <c r="C708">
        <f>+VLOOKUP(A708,'Undivideable Expenses'!$D$104:$AF$134,25,0)</f>
        <v>23607.5</v>
      </c>
      <c r="D708" s="7">
        <f t="shared" si="181"/>
        <v>3.161071693317802</v>
      </c>
      <c r="G708" s="12">
        <f>+VLOOKUP(A708,'Undivideable Expenses'!$D$104:$AA$134,24,0)</f>
        <v>4156.72</v>
      </c>
      <c r="H708" s="12">
        <f t="shared" si="182"/>
        <v>131.39689929047975</v>
      </c>
    </row>
    <row r="709" spans="1:8" x14ac:dyDescent="0.25">
      <c r="A709" s="6">
        <v>45876</v>
      </c>
      <c r="B709" s="7">
        <v>235</v>
      </c>
      <c r="C709">
        <f>+VLOOKUP(A709,'Undivideable Expenses'!$D$104:$AF$134,25,0)</f>
        <v>22606.25</v>
      </c>
      <c r="D709" s="7">
        <f t="shared" si="181"/>
        <v>1.0395355266795687</v>
      </c>
      <c r="G709" s="12">
        <f>+VLOOKUP(A709,'Undivideable Expenses'!$D$104:$AA$134,24,0)</f>
        <v>4386.2</v>
      </c>
      <c r="H709" s="12">
        <f t="shared" si="182"/>
        <v>45.596107271219239</v>
      </c>
    </row>
    <row r="715" spans="1:8" x14ac:dyDescent="0.25">
      <c r="A715" s="11" t="s">
        <v>104</v>
      </c>
    </row>
    <row r="716" spans="1:8" x14ac:dyDescent="0.25">
      <c r="A716" s="8" t="s">
        <v>6</v>
      </c>
      <c r="B716" s="8" t="s">
        <v>105</v>
      </c>
      <c r="C716" s="22" t="s">
        <v>50</v>
      </c>
      <c r="D716" s="22" t="s">
        <v>9</v>
      </c>
    </row>
    <row r="717" spans="1:8" x14ac:dyDescent="0.25">
      <c r="A717" s="6">
        <v>45850</v>
      </c>
      <c r="B717" s="7">
        <v>551.25</v>
      </c>
      <c r="C717" s="12">
        <f>+VLOOKUP(A717,'Undivideable Expenses'!$D$70:$AF$100,25,0)</f>
        <v>21448</v>
      </c>
      <c r="D717" s="7">
        <f t="shared" ref="D717" si="183">+B717/C717*100</f>
        <v>2.5701697127937337</v>
      </c>
      <c r="G717" s="12">
        <f>+VLOOKUP(A717,'Undivideable Expenses'!$D$70:$AA$100,24,0)</f>
        <v>4271.17</v>
      </c>
      <c r="H717" s="12">
        <f t="shared" ref="H717" si="184">+G717/100*D717</f>
        <v>109.77631772193212</v>
      </c>
    </row>
    <row r="718" spans="1:8" x14ac:dyDescent="0.25">
      <c r="A718" s="6">
        <v>45851</v>
      </c>
      <c r="B718" s="7">
        <v>950</v>
      </c>
      <c r="C718" s="12">
        <f>+VLOOKUP(A718,'Undivideable Expenses'!$D$70:$AF$100,25,0)</f>
        <v>15100</v>
      </c>
      <c r="D718" s="7">
        <f t="shared" ref="D718:D733" si="185">+B718/C718*100</f>
        <v>6.2913907284768218</v>
      </c>
      <c r="G718" s="12">
        <f>+VLOOKUP(A718,'Undivideable Expenses'!$D$70:$AA$100,24,0)</f>
        <v>3895.2000000000003</v>
      </c>
      <c r="H718" s="12">
        <f t="shared" ref="H718:H733" si="186">+G718/100*D718</f>
        <v>245.06225165562918</v>
      </c>
    </row>
    <row r="719" spans="1:8" x14ac:dyDescent="0.25">
      <c r="A719" s="6">
        <v>45852</v>
      </c>
      <c r="B719" s="7">
        <v>842.5</v>
      </c>
      <c r="C719" s="12">
        <f>+VLOOKUP(A719,'Undivideable Expenses'!$D$70:$AF$100,25,0)</f>
        <v>18976.25</v>
      </c>
      <c r="D719" s="7">
        <f t="shared" si="185"/>
        <v>4.4397602265990388</v>
      </c>
      <c r="G719" s="12">
        <f>+VLOOKUP(A719,'Undivideable Expenses'!$D$70:$AA$100,24,0)</f>
        <v>4415.74</v>
      </c>
      <c r="H719" s="12">
        <f t="shared" si="186"/>
        <v>196.04826823002438</v>
      </c>
    </row>
    <row r="720" spans="1:8" x14ac:dyDescent="0.25">
      <c r="A720" s="6">
        <v>45853</v>
      </c>
      <c r="B720" s="7">
        <v>1315</v>
      </c>
      <c r="C720" s="12">
        <f>+VLOOKUP(A720,'Undivideable Expenses'!$D$70:$AF$100,25,0)</f>
        <v>15475</v>
      </c>
      <c r="D720" s="7">
        <f t="shared" si="185"/>
        <v>8.4975767366720518</v>
      </c>
      <c r="G720" s="12">
        <f>+VLOOKUP(A720,'Undivideable Expenses'!$D$70:$AA$100,24,0)</f>
        <v>3504.4800000000005</v>
      </c>
      <c r="H720" s="12">
        <f t="shared" si="186"/>
        <v>297.79587722132476</v>
      </c>
    </row>
    <row r="721" spans="1:8" x14ac:dyDescent="0.25">
      <c r="A721" s="6">
        <v>45854</v>
      </c>
      <c r="B721" s="7">
        <v>4518.75</v>
      </c>
      <c r="C721" s="12">
        <f>+VLOOKUP(A721,'Undivideable Expenses'!$D$70:$AF$100,25,0)</f>
        <v>19583.5</v>
      </c>
      <c r="D721" s="7">
        <f t="shared" si="185"/>
        <v>23.074271708325885</v>
      </c>
      <c r="G721" s="12">
        <f>+VLOOKUP(A721,'Undivideable Expenses'!$D$70:$AA$100,24,0)</f>
        <v>4437.7</v>
      </c>
      <c r="H721" s="12">
        <f t="shared" si="186"/>
        <v>1023.9669556003777</v>
      </c>
    </row>
    <row r="722" spans="1:8" x14ac:dyDescent="0.25">
      <c r="A722" s="6">
        <v>45855</v>
      </c>
      <c r="B722" s="7">
        <v>6961.25</v>
      </c>
      <c r="C722" s="12">
        <f>+VLOOKUP(A722,'Undivideable Expenses'!$D$70:$AF$100,25,0)</f>
        <v>21265</v>
      </c>
      <c r="D722" s="7">
        <f t="shared" si="185"/>
        <v>32.735715965201031</v>
      </c>
      <c r="G722" s="12">
        <f>+VLOOKUP(A722,'Undivideable Expenses'!$D$70:$AA$100,24,0)</f>
        <v>4428.74</v>
      </c>
      <c r="H722" s="12">
        <f t="shared" si="186"/>
        <v>1449.779747237244</v>
      </c>
    </row>
    <row r="723" spans="1:8" x14ac:dyDescent="0.25">
      <c r="A723" s="6">
        <v>45856</v>
      </c>
      <c r="B723" s="7">
        <v>7630</v>
      </c>
      <c r="C723" s="12">
        <f>+VLOOKUP(A723,'Undivideable Expenses'!$D$70:$AF$100,25,0)</f>
        <v>22924.875</v>
      </c>
      <c r="D723" s="7">
        <f t="shared" si="185"/>
        <v>33.282624223687151</v>
      </c>
      <c r="G723" s="12">
        <f>+VLOOKUP(A723,'Undivideable Expenses'!$D$70:$AA$100,24,0)</f>
        <v>4467.2</v>
      </c>
      <c r="H723" s="12">
        <f t="shared" si="186"/>
        <v>1486.8013893205523</v>
      </c>
    </row>
    <row r="724" spans="1:8" x14ac:dyDescent="0.25">
      <c r="A724" s="6">
        <v>45857</v>
      </c>
      <c r="B724" s="7">
        <v>4276.25</v>
      </c>
      <c r="C724" s="12">
        <f>+VLOOKUP(A724,'Undivideable Expenses'!$D$70:$AF$100,25,0)</f>
        <v>18823.75</v>
      </c>
      <c r="D724" s="7">
        <f t="shared" si="185"/>
        <v>22.717311906501095</v>
      </c>
      <c r="G724" s="12">
        <f>+VLOOKUP(A724,'Undivideable Expenses'!$D$70:$AA$100,24,0)</f>
        <v>3177.4900000000002</v>
      </c>
      <c r="H724" s="12">
        <f t="shared" si="186"/>
        <v>721.84031409788167</v>
      </c>
    </row>
    <row r="725" spans="1:8" x14ac:dyDescent="0.25">
      <c r="A725" s="6">
        <v>45859</v>
      </c>
      <c r="B725" s="7">
        <v>4573.75</v>
      </c>
      <c r="C725" s="12">
        <f>+VLOOKUP(A725,'Undivideable Expenses'!$D$70:$AF$100,25,0)</f>
        <v>21283.5</v>
      </c>
      <c r="D725" s="7">
        <f t="shared" si="185"/>
        <v>21.489651608053187</v>
      </c>
      <c r="G725" s="12">
        <f>+VLOOKUP(A725,'Undivideable Expenses'!$D$70:$AA$100,24,0)</f>
        <v>3814.75</v>
      </c>
      <c r="H725" s="12">
        <f t="shared" si="186"/>
        <v>819.77648471820896</v>
      </c>
    </row>
    <row r="726" spans="1:8" x14ac:dyDescent="0.25">
      <c r="A726" s="6">
        <v>45860</v>
      </c>
      <c r="B726" s="7">
        <v>4148.75</v>
      </c>
      <c r="C726" s="12">
        <f>+VLOOKUP(A726,'Undivideable Expenses'!$D$70:$AF$100,25,0)</f>
        <v>21203</v>
      </c>
      <c r="D726" s="7">
        <f t="shared" si="185"/>
        <v>19.566806583973968</v>
      </c>
      <c r="G726" s="12">
        <f>+VLOOKUP(A726,'Undivideable Expenses'!$D$70:$AA$100,24,0)</f>
        <v>3650.4799999999996</v>
      </c>
      <c r="H726" s="12">
        <f t="shared" si="186"/>
        <v>714.28236098665286</v>
      </c>
    </row>
    <row r="727" spans="1:8" x14ac:dyDescent="0.25">
      <c r="A727" s="6">
        <v>45861</v>
      </c>
      <c r="B727" s="7">
        <v>3616.25</v>
      </c>
      <c r="C727" s="12">
        <f>+VLOOKUP(A727,'Undivideable Expenses'!$D$70:$AF$100,25,0)</f>
        <v>20952</v>
      </c>
      <c r="D727" s="7">
        <f t="shared" si="185"/>
        <v>17.259688812523862</v>
      </c>
      <c r="G727" s="12">
        <f>+VLOOKUP(A727,'Undivideable Expenses'!$D$70:$AA$100,24,0)</f>
        <v>3887.49</v>
      </c>
      <c r="H727" s="12">
        <f t="shared" si="186"/>
        <v>670.96867661798387</v>
      </c>
    </row>
    <row r="728" spans="1:8" x14ac:dyDescent="0.25">
      <c r="A728" s="6">
        <v>45862</v>
      </c>
      <c r="B728" s="7">
        <v>2107.5</v>
      </c>
      <c r="C728" s="12">
        <f>+VLOOKUP(A728,'Undivideable Expenses'!$D$70:$AF$100,25,0)</f>
        <v>20215</v>
      </c>
      <c r="D728" s="7">
        <f t="shared" si="185"/>
        <v>10.425426663368786</v>
      </c>
      <c r="G728" s="12">
        <f>+VLOOKUP(A728,'Undivideable Expenses'!$D$70:$AA$100,24,0)</f>
        <v>3783.61</v>
      </c>
      <c r="H728" s="12">
        <f t="shared" si="186"/>
        <v>394.45748577788771</v>
      </c>
    </row>
    <row r="729" spans="1:8" x14ac:dyDescent="0.25">
      <c r="A729" s="6">
        <v>45863</v>
      </c>
      <c r="B729" s="7">
        <v>1872.5</v>
      </c>
      <c r="C729" s="12">
        <f>+VLOOKUP(A729,'Undivideable Expenses'!$D$70:$AF$100,25,0)</f>
        <v>20752</v>
      </c>
      <c r="D729" s="7">
        <f t="shared" si="185"/>
        <v>9.0232266769468001</v>
      </c>
      <c r="G729" s="12">
        <f>+VLOOKUP(A729,'Undivideable Expenses'!$D$70:$AA$100,24,0)</f>
        <v>3891.1500000000005</v>
      </c>
      <c r="H729" s="12">
        <f t="shared" si="186"/>
        <v>351.10728484001544</v>
      </c>
    </row>
    <row r="730" spans="1:8" x14ac:dyDescent="0.25">
      <c r="A730" s="6">
        <v>45864</v>
      </c>
      <c r="B730" s="7">
        <v>165</v>
      </c>
      <c r="C730" s="12">
        <f>+VLOOKUP(A730,'Undivideable Expenses'!$D$70:$AF$100,25,0)</f>
        <v>20851</v>
      </c>
      <c r="D730" s="7">
        <f t="shared" si="185"/>
        <v>0.79132895304781548</v>
      </c>
      <c r="G730" s="12">
        <f>+VLOOKUP(A730,'Undivideable Expenses'!$D$70:$AA$100,24,0)</f>
        <v>4637.87</v>
      </c>
      <c r="H730" s="12">
        <f t="shared" si="186"/>
        <v>36.700808114718718</v>
      </c>
    </row>
    <row r="731" spans="1:8" x14ac:dyDescent="0.25">
      <c r="A731" s="6">
        <v>45866</v>
      </c>
      <c r="B731" s="7">
        <v>146.25</v>
      </c>
      <c r="C731" s="12">
        <f>+VLOOKUP(A731,'Undivideable Expenses'!$D$70:$AF$100,25,0)</f>
        <v>22146.25</v>
      </c>
      <c r="D731" s="7">
        <f t="shared" si="185"/>
        <v>0.6603826832985269</v>
      </c>
      <c r="G731" s="12">
        <f>+VLOOKUP(A731,'Undivideable Expenses'!$D$70:$AA$100,24,0)</f>
        <v>4734.17</v>
      </c>
      <c r="H731" s="12">
        <f t="shared" si="186"/>
        <v>31.263638877913873</v>
      </c>
    </row>
    <row r="732" spans="1:8" x14ac:dyDescent="0.25">
      <c r="A732" s="6">
        <v>45867</v>
      </c>
      <c r="B732" s="7">
        <v>230</v>
      </c>
      <c r="C732" s="12">
        <f>+VLOOKUP(A732,'Undivideable Expenses'!$D$70:$AF$100,25,0)</f>
        <v>23655</v>
      </c>
      <c r="D732" s="7">
        <f t="shared" si="185"/>
        <v>0.97231029380680611</v>
      </c>
      <c r="G732" s="12">
        <f>+VLOOKUP(A732,'Undivideable Expenses'!$D$70:$AA$100,24,0)</f>
        <v>3369.74</v>
      </c>
      <c r="H732" s="12">
        <f t="shared" si="186"/>
        <v>32.764328894525462</v>
      </c>
    </row>
    <row r="733" spans="1:8" x14ac:dyDescent="0.25">
      <c r="A733" s="6">
        <v>45868</v>
      </c>
      <c r="B733" s="7">
        <v>460</v>
      </c>
      <c r="C733" s="12">
        <f>+VLOOKUP(A733,'Undivideable Expenses'!$D$70:$AF$100,25,0)</f>
        <v>20230</v>
      </c>
      <c r="D733" s="7">
        <f t="shared" si="185"/>
        <v>2.2738507167572912</v>
      </c>
      <c r="G733" s="12">
        <f>+VLOOKUP(A733,'Undivideable Expenses'!$D$70:$AA$100,24,0)</f>
        <v>4589.82</v>
      </c>
      <c r="H733" s="12">
        <f t="shared" si="186"/>
        <v>104.36565496786949</v>
      </c>
    </row>
    <row r="734" spans="1:8" x14ac:dyDescent="0.25">
      <c r="A734" s="6">
        <v>45884</v>
      </c>
      <c r="B734" s="7">
        <v>94</v>
      </c>
      <c r="C734">
        <f>+VLOOKUP(A734,'Undivideable Expenses'!$D$104:$AF$134,25,0)</f>
        <v>20656</v>
      </c>
      <c r="D734" s="7">
        <f t="shared" ref="D734" si="187">+B734/C734*100</f>
        <v>0.45507358636715728</v>
      </c>
      <c r="G734" s="12">
        <f>+VLOOKUP(A734,'Undivideable Expenses'!$D$104:$AA$134,24,0)</f>
        <v>3357.6000000000004</v>
      </c>
      <c r="H734" s="12">
        <f t="shared" ref="H734" si="188">+G734/100*D734</f>
        <v>15.279550735863673</v>
      </c>
    </row>
    <row r="735" spans="1:8" x14ac:dyDescent="0.25">
      <c r="A735" s="6">
        <v>45887</v>
      </c>
      <c r="B735" s="7">
        <v>40</v>
      </c>
      <c r="C735">
        <f>+VLOOKUP(A735,'Undivideable Expenses'!$D$104:$AF$134,25,0)</f>
        <v>25291.56</v>
      </c>
      <c r="D735" s="7">
        <f t="shared" ref="D735" si="189">+B735/C735*100</f>
        <v>0.15815552698212365</v>
      </c>
      <c r="G735" s="12">
        <f>+VLOOKUP(A735,'Undivideable Expenses'!$D$104:$AA$134,24,0)</f>
        <v>4024.5600000000004</v>
      </c>
      <c r="H735" s="12">
        <f t="shared" ref="H735" si="190">+G735/100*D735</f>
        <v>6.3650640767117563</v>
      </c>
    </row>
    <row r="741" spans="1:8" x14ac:dyDescent="0.25">
      <c r="A741" s="11" t="s">
        <v>106</v>
      </c>
    </row>
    <row r="742" spans="1:8" x14ac:dyDescent="0.25">
      <c r="A742" s="8" t="s">
        <v>6</v>
      </c>
      <c r="B742" s="8" t="s">
        <v>107</v>
      </c>
      <c r="C742" s="22" t="s">
        <v>50</v>
      </c>
      <c r="D742" s="22" t="s">
        <v>9</v>
      </c>
    </row>
    <row r="743" spans="1:8" x14ac:dyDescent="0.25">
      <c r="A743" s="6">
        <v>45854</v>
      </c>
      <c r="B743" s="7">
        <v>282.5</v>
      </c>
      <c r="C743" s="12">
        <f>+VLOOKUP(A743,'Undivideable Expenses'!$D$70:$AF$100,25,0)</f>
        <v>19583.5</v>
      </c>
      <c r="D743" s="7">
        <f t="shared" ref="D743" si="191">+B743/C743*100</f>
        <v>1.4425409145454082</v>
      </c>
      <c r="G743" s="12">
        <f>+VLOOKUP(A743,'Undivideable Expenses'!$D$70:$AA$100,24,0)</f>
        <v>4437.7</v>
      </c>
      <c r="H743" s="12">
        <f t="shared" ref="H743" si="192">+G743/100*D743</f>
        <v>64.015638164781578</v>
      </c>
    </row>
    <row r="744" spans="1:8" x14ac:dyDescent="0.25">
      <c r="A744" s="6">
        <v>45855</v>
      </c>
      <c r="B744" s="7">
        <v>1650</v>
      </c>
      <c r="C744" s="12">
        <f>+VLOOKUP(A744,'Undivideable Expenses'!$D$70:$AF$100,25,0)</f>
        <v>21265</v>
      </c>
      <c r="D744" s="7">
        <f t="shared" ref="D744:D755" si="193">+B744/C744*100</f>
        <v>7.7592287796849275</v>
      </c>
      <c r="G744" s="12">
        <f>+VLOOKUP(A744,'Undivideable Expenses'!$D$70:$AA$100,24,0)</f>
        <v>4428.74</v>
      </c>
      <c r="H744" s="12">
        <f t="shared" ref="H744:H754" si="194">+G744/100*D744</f>
        <v>343.63606865741826</v>
      </c>
    </row>
    <row r="745" spans="1:8" x14ac:dyDescent="0.25">
      <c r="A745" s="6">
        <v>45856</v>
      </c>
      <c r="B745" s="7">
        <v>2580</v>
      </c>
      <c r="C745" s="12">
        <f>+VLOOKUP(A745,'Undivideable Expenses'!$D$70:$AF$100,25,0)</f>
        <v>22924.875</v>
      </c>
      <c r="D745" s="7">
        <f t="shared" si="193"/>
        <v>11.2541507859912</v>
      </c>
      <c r="G745" s="12">
        <f>+VLOOKUP(A745,'Undivideable Expenses'!$D$70:$AA$100,24,0)</f>
        <v>4467.2</v>
      </c>
      <c r="H745" s="12">
        <f t="shared" si="194"/>
        <v>502.74542391179887</v>
      </c>
    </row>
    <row r="746" spans="1:8" x14ac:dyDescent="0.25">
      <c r="A746" s="6">
        <v>45857</v>
      </c>
      <c r="B746" s="7">
        <v>2732.5</v>
      </c>
      <c r="C746" s="12">
        <f>+VLOOKUP(A746,'Undivideable Expenses'!$D$70:$AF$100,25,0)</f>
        <v>18823.75</v>
      </c>
      <c r="D746" s="7">
        <f t="shared" si="193"/>
        <v>14.51623613785776</v>
      </c>
      <c r="G746" s="12">
        <f>+VLOOKUP(A746,'Undivideable Expenses'!$D$70:$AA$100,24,0)</f>
        <v>3177.4900000000002</v>
      </c>
      <c r="H746" s="12">
        <f t="shared" si="194"/>
        <v>461.25195165681657</v>
      </c>
    </row>
    <row r="747" spans="1:8" x14ac:dyDescent="0.25">
      <c r="A747" s="6">
        <v>45859</v>
      </c>
      <c r="B747" s="7">
        <v>3680</v>
      </c>
      <c r="C747" s="12">
        <f>+VLOOKUP(A747,'Undivideable Expenses'!$D$70:$AF$100,25,0)</f>
        <v>21283.5</v>
      </c>
      <c r="D747" s="7">
        <f t="shared" si="193"/>
        <v>17.290389268682311</v>
      </c>
      <c r="G747" s="12">
        <f>+VLOOKUP(A747,'Undivideable Expenses'!$D$70:$AA$100,24,0)</f>
        <v>3814.75</v>
      </c>
      <c r="H747" s="12">
        <f t="shared" si="194"/>
        <v>659.58512462705846</v>
      </c>
    </row>
    <row r="748" spans="1:8" x14ac:dyDescent="0.25">
      <c r="A748" s="6">
        <v>45860</v>
      </c>
      <c r="B748" s="7">
        <v>2025</v>
      </c>
      <c r="C748" s="12">
        <f>+VLOOKUP(A748,'Undivideable Expenses'!$D$70:$AF$100,25,0)</f>
        <v>21203</v>
      </c>
      <c r="D748" s="7">
        <f t="shared" si="193"/>
        <v>9.5505353016082637</v>
      </c>
      <c r="G748" s="12">
        <f>+VLOOKUP(A748,'Undivideable Expenses'!$D$70:$AA$100,24,0)</f>
        <v>3650.4799999999996</v>
      </c>
      <c r="H748" s="12">
        <f t="shared" si="194"/>
        <v>348.64038107814929</v>
      </c>
    </row>
    <row r="749" spans="1:8" x14ac:dyDescent="0.25">
      <c r="A749" s="6">
        <v>45861</v>
      </c>
      <c r="B749" s="7">
        <v>2710</v>
      </c>
      <c r="C749" s="12">
        <f>+VLOOKUP(A749,'Undivideable Expenses'!$D$70:$AF$100,25,0)</f>
        <v>20952</v>
      </c>
      <c r="D749" s="7">
        <f t="shared" si="193"/>
        <v>12.934326078655975</v>
      </c>
      <c r="G749" s="12">
        <f>+VLOOKUP(A749,'Undivideable Expenses'!$D$70:$AA$100,24,0)</f>
        <v>3887.49</v>
      </c>
      <c r="H749" s="12">
        <f t="shared" si="194"/>
        <v>502.82063287514313</v>
      </c>
    </row>
    <row r="750" spans="1:8" x14ac:dyDescent="0.25">
      <c r="A750" s="6">
        <v>45862</v>
      </c>
      <c r="B750" s="7">
        <v>2120</v>
      </c>
      <c r="C750" s="12">
        <f>+VLOOKUP(A750,'Undivideable Expenses'!$D$70:$AF$100,25,0)</f>
        <v>20215</v>
      </c>
      <c r="D750" s="7">
        <f t="shared" si="193"/>
        <v>10.487261934207272</v>
      </c>
      <c r="G750" s="12">
        <f>+VLOOKUP(A750,'Undivideable Expenses'!$D$70:$AA$100,24,0)</f>
        <v>3783.61</v>
      </c>
      <c r="H750" s="12">
        <f t="shared" si="194"/>
        <v>396.79709126885979</v>
      </c>
    </row>
    <row r="751" spans="1:8" x14ac:dyDescent="0.25">
      <c r="A751" s="6">
        <v>45863</v>
      </c>
      <c r="B751" s="7">
        <v>832.5</v>
      </c>
      <c r="C751" s="12">
        <f>+VLOOKUP(A751,'Undivideable Expenses'!$D$70:$AF$100,25,0)</f>
        <v>20752</v>
      </c>
      <c r="D751" s="7">
        <f t="shared" si="193"/>
        <v>4.0116615265998457</v>
      </c>
      <c r="G751" s="12">
        <f>+VLOOKUP(A751,'Undivideable Expenses'!$D$70:$AA$100,24,0)</f>
        <v>3891.1500000000005</v>
      </c>
      <c r="H751" s="12">
        <f t="shared" si="194"/>
        <v>156.09976749228991</v>
      </c>
    </row>
    <row r="752" spans="1:8" x14ac:dyDescent="0.25">
      <c r="A752" s="6">
        <v>45864</v>
      </c>
      <c r="B752" s="7">
        <v>395</v>
      </c>
      <c r="C752" s="12">
        <f>+VLOOKUP(A752,'Undivideable Expenses'!$D$70:$AF$100,25,0)</f>
        <v>20851</v>
      </c>
      <c r="D752" s="7">
        <f t="shared" si="193"/>
        <v>1.8943935542659824</v>
      </c>
      <c r="G752" s="12">
        <f>+VLOOKUP(A752,'Undivideable Expenses'!$D$70:$AA$100,24,0)</f>
        <v>4637.87</v>
      </c>
      <c r="H752" s="12">
        <f t="shared" si="194"/>
        <v>87.859510335235726</v>
      </c>
    </row>
    <row r="753" spans="1:8" x14ac:dyDescent="0.25">
      <c r="A753" s="6">
        <v>45866</v>
      </c>
      <c r="B753" s="7">
        <v>100</v>
      </c>
      <c r="C753" s="12">
        <f>+VLOOKUP(A753,'Undivideable Expenses'!$D$70:$AF$100,25,0)</f>
        <v>22146.25</v>
      </c>
      <c r="D753" s="7">
        <f t="shared" si="193"/>
        <v>0.45154371507591573</v>
      </c>
      <c r="G753" s="12">
        <f>+VLOOKUP(A753,'Undivideable Expenses'!$D$70:$AA$100,24,0)</f>
        <v>4734.17</v>
      </c>
      <c r="H753" s="12">
        <f t="shared" si="194"/>
        <v>21.376847096009481</v>
      </c>
    </row>
    <row r="754" spans="1:8" x14ac:dyDescent="0.25">
      <c r="A754" s="6">
        <v>45867</v>
      </c>
      <c r="B754" s="7">
        <v>172.5</v>
      </c>
      <c r="C754" s="12">
        <f>+VLOOKUP(A754,'Undivideable Expenses'!$D$70:$AF$100,25,0)</f>
        <v>23655</v>
      </c>
      <c r="D754" s="7">
        <f t="shared" si="193"/>
        <v>0.72923272035510467</v>
      </c>
      <c r="G754" s="12">
        <f>+VLOOKUP(A754,'Undivideable Expenses'!$D$70:$AA$100,24,0)</f>
        <v>3369.74</v>
      </c>
      <c r="H754" s="12">
        <f t="shared" si="194"/>
        <v>24.5732466708941</v>
      </c>
    </row>
    <row r="755" spans="1:8" x14ac:dyDescent="0.25">
      <c r="A755" s="6">
        <v>45883</v>
      </c>
      <c r="B755" s="7">
        <v>115</v>
      </c>
      <c r="C755">
        <f>+VLOOKUP(A755,'Undivideable Expenses'!$D$104:$AF$134,25,0)</f>
        <v>26731.25</v>
      </c>
      <c r="D755" s="7">
        <f t="shared" si="193"/>
        <v>0.43020808978255787</v>
      </c>
      <c r="G755" s="12">
        <f>+VLOOKUP(A755,'Undivideable Expenses'!$D$104:$AA$134,24,0)</f>
        <v>4330.0099999999993</v>
      </c>
      <c r="H755" s="12">
        <f t="shared" ref="H755:H756" si="195">+G755/100*D755</f>
        <v>18.628053308393731</v>
      </c>
    </row>
    <row r="756" spans="1:8" x14ac:dyDescent="0.25">
      <c r="A756" s="6">
        <v>45884</v>
      </c>
      <c r="B756" s="7">
        <v>216.66666666666666</v>
      </c>
      <c r="C756">
        <f>+VLOOKUP(A756,'Undivideable Expenses'!$D$104:$AF$134,25,0)</f>
        <v>20656</v>
      </c>
      <c r="D756" s="7">
        <f t="shared" ref="D756:D757" si="196">+B756/C756*100</f>
        <v>1.0489284792150788</v>
      </c>
      <c r="G756" s="12">
        <f>+VLOOKUP(A756,'Undivideable Expenses'!$D$104:$AA$134,24,0)</f>
        <v>3357.6000000000004</v>
      </c>
      <c r="H756" s="12">
        <f t="shared" si="195"/>
        <v>35.218822618125486</v>
      </c>
    </row>
    <row r="757" spans="1:8" x14ac:dyDescent="0.25">
      <c r="A757" s="6">
        <v>45885</v>
      </c>
      <c r="B757" s="7">
        <v>65</v>
      </c>
      <c r="C757">
        <f>+VLOOKUP(A757,'Undivideable Expenses'!$D$104:$AF$134,25,0)</f>
        <v>21450</v>
      </c>
      <c r="D757" s="7">
        <f t="shared" si="196"/>
        <v>0.30303030303030304</v>
      </c>
      <c r="G757" s="12">
        <f>+VLOOKUP(A757,'Undivideable Expenses'!$D$104:$AA$134,24,0)</f>
        <v>4085.5499999999997</v>
      </c>
      <c r="H757" s="12">
        <f t="shared" ref="H757" si="197">+G757/100*D757</f>
        <v>12.380454545454546</v>
      </c>
    </row>
    <row r="760" spans="1:8" x14ac:dyDescent="0.25">
      <c r="A760" s="11" t="s">
        <v>286</v>
      </c>
    </row>
    <row r="761" spans="1:8" x14ac:dyDescent="0.25">
      <c r="A761" s="8" t="s">
        <v>6</v>
      </c>
      <c r="B761" s="8" t="s">
        <v>285</v>
      </c>
      <c r="C761" s="22" t="s">
        <v>50</v>
      </c>
      <c r="D761" s="22" t="s">
        <v>9</v>
      </c>
    </row>
    <row r="762" spans="1:8" x14ac:dyDescent="0.25">
      <c r="A762" s="6">
        <v>45856</v>
      </c>
      <c r="B762" s="7">
        <v>2901.875</v>
      </c>
      <c r="C762" s="12">
        <f>+VLOOKUP(A762,'Undivideable Expenses'!$D$70:$AF$100,25,0)</f>
        <v>22924.875</v>
      </c>
      <c r="D762" s="7">
        <f t="shared" ref="D762" si="198">+B762/C762*100</f>
        <v>12.658193338022564</v>
      </c>
      <c r="G762" s="12">
        <f>+VLOOKUP(A762,'Undivideable Expenses'!$D$70:$AA$100,24,0)</f>
        <v>4467.2</v>
      </c>
      <c r="H762" s="12">
        <f t="shared" ref="H762" si="199">+G762/100*D762</f>
        <v>565.46681279614393</v>
      </c>
    </row>
    <row r="763" spans="1:8" x14ac:dyDescent="0.25">
      <c r="A763" s="6">
        <v>45857</v>
      </c>
      <c r="B763" s="7">
        <v>2787.5</v>
      </c>
      <c r="C763" s="12">
        <f>+VLOOKUP(A763,'Undivideable Expenses'!$D$70:$AF$100,25,0)</f>
        <v>18823.75</v>
      </c>
      <c r="D763" s="7">
        <f t="shared" ref="D763:D772" si="200">+B763/C763*100</f>
        <v>14.808420213825618</v>
      </c>
      <c r="G763" s="12">
        <f>+VLOOKUP(A763,'Undivideable Expenses'!$D$70:$AA$100,24,0)</f>
        <v>3177.4900000000002</v>
      </c>
      <c r="H763" s="12">
        <f t="shared" ref="H763:H772" si="201">+G763/100*D763</f>
        <v>470.53607145228767</v>
      </c>
    </row>
    <row r="764" spans="1:8" x14ac:dyDescent="0.25">
      <c r="A764" s="6">
        <v>45859</v>
      </c>
      <c r="B764" s="7">
        <v>1445</v>
      </c>
      <c r="C764" s="12">
        <f>+VLOOKUP(A764,'Undivideable Expenses'!$D$70:$AF$100,25,0)</f>
        <v>21283.5</v>
      </c>
      <c r="D764" s="7">
        <f t="shared" si="200"/>
        <v>6.7892968731646572</v>
      </c>
      <c r="G764" s="12">
        <f>+VLOOKUP(A764,'Undivideable Expenses'!$D$70:$AA$100,24,0)</f>
        <v>3814.75</v>
      </c>
      <c r="H764" s="12">
        <f t="shared" si="201"/>
        <v>258.99470246904878</v>
      </c>
    </row>
    <row r="765" spans="1:8" x14ac:dyDescent="0.25">
      <c r="A765" s="6">
        <v>45860</v>
      </c>
      <c r="B765" s="7">
        <v>2948.75</v>
      </c>
      <c r="C765" s="12">
        <f>+VLOOKUP(A765,'Undivideable Expenses'!$D$70:$AF$100,25,0)</f>
        <v>21203</v>
      </c>
      <c r="D765" s="7">
        <f t="shared" si="200"/>
        <v>13.907230108946846</v>
      </c>
      <c r="G765" s="12">
        <f>+VLOOKUP(A765,'Undivideable Expenses'!$D$70:$AA$100,24,0)</f>
        <v>3650.4799999999996</v>
      </c>
      <c r="H765" s="12">
        <f t="shared" si="201"/>
        <v>507.68065368108279</v>
      </c>
    </row>
    <row r="766" spans="1:8" x14ac:dyDescent="0.25">
      <c r="A766" s="6">
        <v>45861</v>
      </c>
      <c r="B766" s="7">
        <v>1930</v>
      </c>
      <c r="C766" s="12">
        <f>+VLOOKUP(A766,'Undivideable Expenses'!$D$70:$AF$100,25,0)</f>
        <v>20952</v>
      </c>
      <c r="D766" s="7">
        <f t="shared" si="200"/>
        <v>9.2115311187476134</v>
      </c>
      <c r="G766" s="12">
        <f>+VLOOKUP(A766,'Undivideable Expenses'!$D$70:$AA$100,24,0)</f>
        <v>3887.49</v>
      </c>
      <c r="H766" s="12">
        <f t="shared" si="201"/>
        <v>358.09735108820155</v>
      </c>
    </row>
    <row r="767" spans="1:8" x14ac:dyDescent="0.25">
      <c r="A767" s="6">
        <v>45862</v>
      </c>
      <c r="B767" s="7">
        <v>2297.5</v>
      </c>
      <c r="C767" s="12">
        <f>+VLOOKUP(A767,'Undivideable Expenses'!$D$70:$AF$100,25,0)</f>
        <v>20215</v>
      </c>
      <c r="D767" s="7">
        <f t="shared" si="200"/>
        <v>11.365322780113777</v>
      </c>
      <c r="G767" s="12">
        <f>+VLOOKUP(A767,'Undivideable Expenses'!$D$70:$AA$100,24,0)</f>
        <v>3783.61</v>
      </c>
      <c r="H767" s="12">
        <f t="shared" si="201"/>
        <v>430.01948924066289</v>
      </c>
    </row>
    <row r="768" spans="1:8" x14ac:dyDescent="0.25">
      <c r="A768" s="6">
        <v>45863</v>
      </c>
      <c r="B768" s="7">
        <v>3650</v>
      </c>
      <c r="C768" s="12">
        <f>+VLOOKUP(A768,'Undivideable Expenses'!$D$70:$AF$100,25,0)</f>
        <v>20752</v>
      </c>
      <c r="D768" s="7">
        <f t="shared" si="200"/>
        <v>17.588666152659986</v>
      </c>
      <c r="G768" s="12">
        <f>+VLOOKUP(A768,'Undivideable Expenses'!$D$70:$AA$100,24,0)</f>
        <v>3891.1500000000005</v>
      </c>
      <c r="H768" s="12">
        <f t="shared" si="201"/>
        <v>684.4013829992291</v>
      </c>
    </row>
    <row r="769" spans="1:8" x14ac:dyDescent="0.25">
      <c r="A769" s="6">
        <v>45864</v>
      </c>
      <c r="B769" s="7">
        <v>3463.75</v>
      </c>
      <c r="C769" s="12">
        <f>+VLOOKUP(A769,'Undivideable Expenses'!$D$70:$AF$100,25,0)</f>
        <v>20851</v>
      </c>
      <c r="D769" s="7">
        <f t="shared" si="200"/>
        <v>16.611913097693158</v>
      </c>
      <c r="G769" s="12">
        <f>+VLOOKUP(A769,'Undivideable Expenses'!$D$70:$AA$100,24,0)</f>
        <v>4637.87</v>
      </c>
      <c r="H769" s="12">
        <f t="shared" si="201"/>
        <v>770.43893398398166</v>
      </c>
    </row>
    <row r="770" spans="1:8" x14ac:dyDescent="0.25">
      <c r="A770" s="6">
        <v>45865</v>
      </c>
      <c r="B770" s="7">
        <v>1515</v>
      </c>
      <c r="C770" s="12">
        <f>+VLOOKUP(A770,'Undivideable Expenses'!$D$70:$AF$100,25,0)</f>
        <v>16189.375</v>
      </c>
      <c r="D770" s="7">
        <f t="shared" si="200"/>
        <v>9.3579894220746631</v>
      </c>
      <c r="G770" s="12">
        <f>+VLOOKUP(A770,'Undivideable Expenses'!$D$70:$AA$100,24,0)</f>
        <v>3278.9500000000003</v>
      </c>
      <c r="H770" s="12">
        <f t="shared" si="201"/>
        <v>306.84379415511722</v>
      </c>
    </row>
    <row r="771" spans="1:8" x14ac:dyDescent="0.25">
      <c r="A771" s="6">
        <v>45866</v>
      </c>
      <c r="B771" s="7">
        <v>215</v>
      </c>
      <c r="C771" s="12">
        <f>+VLOOKUP(A771,'Undivideable Expenses'!$D$70:$AF$100,25,0)</f>
        <v>22146.25</v>
      </c>
      <c r="D771" s="7">
        <f t="shared" si="200"/>
        <v>0.97081898741321893</v>
      </c>
      <c r="G771" s="12">
        <f>+VLOOKUP(A771,'Undivideable Expenses'!$D$70:$AA$100,24,0)</f>
        <v>4734.17</v>
      </c>
      <c r="H771" s="12">
        <f t="shared" si="201"/>
        <v>45.96022125642039</v>
      </c>
    </row>
    <row r="772" spans="1:8" x14ac:dyDescent="0.25">
      <c r="A772" s="6">
        <v>45867</v>
      </c>
      <c r="B772" s="7">
        <v>110</v>
      </c>
      <c r="C772" s="12">
        <f>+VLOOKUP(A772,'Undivideable Expenses'!$D$70:$AF$100,25,0)</f>
        <v>23655</v>
      </c>
      <c r="D772" s="7">
        <f t="shared" si="200"/>
        <v>0.46501796660325512</v>
      </c>
      <c r="G772" s="12">
        <f>+VLOOKUP(A772,'Undivideable Expenses'!$D$70:$AA$100,24,0)</f>
        <v>3369.74</v>
      </c>
      <c r="H772" s="12">
        <f t="shared" si="201"/>
        <v>15.669896427816527</v>
      </c>
    </row>
    <row r="773" spans="1:8" x14ac:dyDescent="0.25">
      <c r="A773" s="6">
        <v>45873</v>
      </c>
      <c r="B773" s="7">
        <v>315</v>
      </c>
      <c r="C773">
        <f>+VLOOKUP(A773,'Undivideable Expenses'!$D$104:$AF$134,25,0)</f>
        <v>18660</v>
      </c>
      <c r="D773" s="7">
        <f t="shared" ref="D773" si="202">+B773/C773*100</f>
        <v>1.6881028938906755</v>
      </c>
      <c r="G773" s="12">
        <f>+VLOOKUP(A773,'Undivideable Expenses'!$D$104:$AA$134,24,0)</f>
        <v>3492.6099999999997</v>
      </c>
      <c r="H773" s="12">
        <f t="shared" ref="H773" si="203">+G773/100*D773</f>
        <v>58.958850482315114</v>
      </c>
    </row>
    <row r="774" spans="1:8" x14ac:dyDescent="0.25">
      <c r="A774" s="6">
        <v>45874</v>
      </c>
      <c r="B774" s="7">
        <v>345</v>
      </c>
      <c r="C774">
        <f>+VLOOKUP(A774,'Undivideable Expenses'!$D$104:$AF$134,25,0)</f>
        <v>22530</v>
      </c>
      <c r="D774" s="7">
        <f t="shared" ref="D774:D775" si="204">+B774/C774*100</f>
        <v>1.5312916111850865</v>
      </c>
      <c r="G774" s="12">
        <f>+VLOOKUP(A774,'Undivideable Expenses'!$D$104:$AA$134,24,0)</f>
        <v>3340.7999999999997</v>
      </c>
      <c r="H774" s="12">
        <f t="shared" ref="H774:H775" si="205">+G774/100*D774</f>
        <v>51.157390146471364</v>
      </c>
    </row>
    <row r="775" spans="1:8" x14ac:dyDescent="0.25">
      <c r="A775" s="6">
        <v>45917</v>
      </c>
      <c r="B775" s="7">
        <v>646.25</v>
      </c>
      <c r="C775" s="12">
        <f>+VLOOKUP(A775,'Undivideable Expenses'!$D$104:$AH$201,31,0)</f>
        <v>23606.31</v>
      </c>
      <c r="D775" s="7">
        <f t="shared" si="204"/>
        <v>2.7376154934845807</v>
      </c>
      <c r="G775" s="12">
        <f>+VLOOKUP(A775,'Undivideable Expenses'!D$104:AG$201,30,0)</f>
        <v>4441.4399999999996</v>
      </c>
      <c r="H775" s="12">
        <f t="shared" si="205"/>
        <v>121.58954957382154</v>
      </c>
    </row>
    <row r="777" spans="1:8" x14ac:dyDescent="0.25">
      <c r="A777" s="11" t="s">
        <v>108</v>
      </c>
    </row>
    <row r="778" spans="1:8" x14ac:dyDescent="0.25">
      <c r="A778" s="8" t="s">
        <v>6</v>
      </c>
      <c r="B778" s="8" t="s">
        <v>109</v>
      </c>
      <c r="C778" s="22" t="s">
        <v>50</v>
      </c>
      <c r="D778" s="22" t="s">
        <v>9</v>
      </c>
    </row>
    <row r="779" spans="1:8" x14ac:dyDescent="0.25">
      <c r="A779" s="6">
        <v>45857</v>
      </c>
      <c r="B779" s="7">
        <v>2705</v>
      </c>
      <c r="C779" s="12">
        <f>+VLOOKUP(A779,'Undivideable Expenses'!$D$70:$AF$100,25,0)</f>
        <v>18823.75</v>
      </c>
      <c r="D779" s="7">
        <f t="shared" ref="D779" si="206">+B779/C779*100</f>
        <v>14.37014409987383</v>
      </c>
      <c r="G779" s="12">
        <f>+VLOOKUP(A779,'Undivideable Expenses'!$D$70:$AA$100,24,0)</f>
        <v>3177.4900000000002</v>
      </c>
      <c r="H779" s="12">
        <f t="shared" ref="H779" si="207">+G779/100*D779</f>
        <v>456.60989175908099</v>
      </c>
    </row>
    <row r="780" spans="1:8" x14ac:dyDescent="0.25">
      <c r="A780" s="6">
        <v>45859</v>
      </c>
      <c r="B780" s="7">
        <v>4350</v>
      </c>
      <c r="C780" s="12">
        <f>+VLOOKUP(A780,'Undivideable Expenses'!$D$70:$AF$100,25,0)</f>
        <v>21283.5</v>
      </c>
      <c r="D780" s="7">
        <f t="shared" ref="D780:D790" si="208">+B780/C780*100</f>
        <v>20.438367749665236</v>
      </c>
      <c r="G780" s="12">
        <f>+VLOOKUP(A780,'Undivideable Expenses'!$D$70:$AA$100,24,0)</f>
        <v>3814.75</v>
      </c>
      <c r="H780" s="12">
        <f t="shared" ref="H780:H789" si="209">+G780/100*D780</f>
        <v>779.67263373035462</v>
      </c>
    </row>
    <row r="781" spans="1:8" x14ac:dyDescent="0.25">
      <c r="A781" s="6">
        <v>45860</v>
      </c>
      <c r="B781" s="7">
        <v>1670</v>
      </c>
      <c r="C781" s="12">
        <f>+VLOOKUP(A781,'Undivideable Expenses'!$D$70:$AF$100,25,0)</f>
        <v>21203</v>
      </c>
      <c r="D781" s="7">
        <f t="shared" si="208"/>
        <v>7.8762439277460743</v>
      </c>
      <c r="G781" s="12">
        <f>+VLOOKUP(A781,'Undivideable Expenses'!$D$70:$AA$100,24,0)</f>
        <v>3650.4799999999996</v>
      </c>
      <c r="H781" s="12">
        <f t="shared" si="209"/>
        <v>287.52070933358488</v>
      </c>
    </row>
    <row r="782" spans="1:8" x14ac:dyDescent="0.25">
      <c r="A782" s="6">
        <v>45861</v>
      </c>
      <c r="B782" s="7">
        <v>995</v>
      </c>
      <c r="C782" s="12">
        <f>+VLOOKUP(A782,'Undivideable Expenses'!$D$70:$AF$100,25,0)</f>
        <v>20952</v>
      </c>
      <c r="D782" s="7">
        <f t="shared" si="208"/>
        <v>4.7489499809087441</v>
      </c>
      <c r="G782" s="12">
        <f>+VLOOKUP(A782,'Undivideable Expenses'!$D$70:$AA$100,24,0)</f>
        <v>3887.49</v>
      </c>
      <c r="H782" s="12">
        <f t="shared" si="209"/>
        <v>184.61495561282933</v>
      </c>
    </row>
    <row r="783" spans="1:8" x14ac:dyDescent="0.25">
      <c r="A783" s="6">
        <v>45863</v>
      </c>
      <c r="B783" s="7">
        <v>2215</v>
      </c>
      <c r="C783" s="12">
        <f>+VLOOKUP(A783,'Undivideable Expenses'!$D$70:$AF$100,25,0)</f>
        <v>20752</v>
      </c>
      <c r="D783" s="7">
        <f t="shared" si="208"/>
        <v>10.673670007710099</v>
      </c>
      <c r="G783" s="12">
        <f>+VLOOKUP(A783,'Undivideable Expenses'!$D$70:$AA$100,24,0)</f>
        <v>3891.1500000000005</v>
      </c>
      <c r="H783" s="12">
        <f t="shared" si="209"/>
        <v>415.32851050501154</v>
      </c>
    </row>
    <row r="784" spans="1:8" x14ac:dyDescent="0.25">
      <c r="A784" s="6">
        <v>45864</v>
      </c>
      <c r="B784" s="7">
        <v>4716.25</v>
      </c>
      <c r="C784" s="12">
        <f>+VLOOKUP(A784,'Undivideable Expenses'!$D$70:$AF$100,25,0)</f>
        <v>20851</v>
      </c>
      <c r="D784" s="7">
        <f t="shared" si="208"/>
        <v>22.61881924128339</v>
      </c>
      <c r="G784" s="12">
        <f>+VLOOKUP(A784,'Undivideable Expenses'!$D$70:$AA$100,24,0)</f>
        <v>4637.87</v>
      </c>
      <c r="H784" s="12">
        <f t="shared" si="209"/>
        <v>1049.03143194571</v>
      </c>
    </row>
    <row r="785" spans="1:8" x14ac:dyDescent="0.25">
      <c r="A785" s="6">
        <v>45865</v>
      </c>
      <c r="B785" s="7">
        <v>2681.6666666666665</v>
      </c>
      <c r="C785" s="12">
        <f>+VLOOKUP(A785,'Undivideable Expenses'!$D$70:$AF$100,25,0)</f>
        <v>16189.375</v>
      </c>
      <c r="D785" s="7">
        <f t="shared" si="208"/>
        <v>16.564361914321378</v>
      </c>
      <c r="G785" s="12">
        <f>+VLOOKUP(A785,'Undivideable Expenses'!$D$70:$AA$100,24,0)</f>
        <v>3278.9500000000003</v>
      </c>
      <c r="H785" s="12">
        <f t="shared" si="209"/>
        <v>543.13714498964089</v>
      </c>
    </row>
    <row r="786" spans="1:8" x14ac:dyDescent="0.25">
      <c r="A786" s="6">
        <v>45866</v>
      </c>
      <c r="B786" s="7">
        <v>3842.5</v>
      </c>
      <c r="C786" s="12">
        <f>+VLOOKUP(A786,'Undivideable Expenses'!$D$70:$AF$100,25,0)</f>
        <v>22146.25</v>
      </c>
      <c r="D786" s="7">
        <f t="shared" si="208"/>
        <v>17.350567251792064</v>
      </c>
      <c r="G786" s="12">
        <f>+VLOOKUP(A786,'Undivideable Expenses'!$D$70:$AA$100,24,0)</f>
        <v>4734.17</v>
      </c>
      <c r="H786" s="12">
        <f t="shared" si="209"/>
        <v>821.40534966416442</v>
      </c>
    </row>
    <row r="787" spans="1:8" x14ac:dyDescent="0.25">
      <c r="A787" s="6">
        <v>45867</v>
      </c>
      <c r="B787" s="7">
        <v>445</v>
      </c>
      <c r="C787" s="12">
        <f>+VLOOKUP(A787,'Undivideable Expenses'!$D$70:$AF$100,25,0)</f>
        <v>23655</v>
      </c>
      <c r="D787" s="7">
        <f t="shared" si="208"/>
        <v>1.8812090467131684</v>
      </c>
      <c r="G787" s="12">
        <f>+VLOOKUP(A787,'Undivideable Expenses'!$D$70:$AA$100,24,0)</f>
        <v>3369.74</v>
      </c>
      <c r="H787" s="12">
        <f t="shared" si="209"/>
        <v>63.391853730712306</v>
      </c>
    </row>
    <row r="788" spans="1:8" x14ac:dyDescent="0.25">
      <c r="A788" s="6">
        <v>45868</v>
      </c>
      <c r="B788" s="7">
        <v>345</v>
      </c>
      <c r="C788" s="12">
        <f>+VLOOKUP(A788,'Undivideable Expenses'!$D$70:$AF$100,25,0)</f>
        <v>20230</v>
      </c>
      <c r="D788" s="7">
        <f t="shared" si="208"/>
        <v>1.7053880375679682</v>
      </c>
      <c r="G788" s="12">
        <f>+VLOOKUP(A788,'Undivideable Expenses'!$D$70:$AA$100,24,0)</f>
        <v>4589.82</v>
      </c>
      <c r="H788" s="12">
        <f t="shared" si="209"/>
        <v>78.274241225902117</v>
      </c>
    </row>
    <row r="789" spans="1:8" x14ac:dyDescent="0.25">
      <c r="A789" s="6">
        <v>45869</v>
      </c>
      <c r="B789" s="7">
        <v>460</v>
      </c>
      <c r="C789" s="12">
        <f>+VLOOKUP(A789,'Undivideable Expenses'!$D$70:$AF$100,25,0)</f>
        <v>18656.25</v>
      </c>
      <c r="D789" s="7">
        <f t="shared" si="208"/>
        <v>2.4656616415410384</v>
      </c>
      <c r="G789" s="12">
        <f>+VLOOKUP(A789,'Undivideable Expenses'!$D$70:$AA$100,24,0)</f>
        <v>3641.3899999999994</v>
      </c>
      <c r="H789" s="12">
        <f t="shared" si="209"/>
        <v>89.784356448911197</v>
      </c>
    </row>
    <row r="790" spans="1:8" x14ac:dyDescent="0.25">
      <c r="A790" s="6">
        <v>45870</v>
      </c>
      <c r="B790" s="7">
        <v>632.5</v>
      </c>
      <c r="C790">
        <f>+VLOOKUP(A790,'Undivideable Expenses'!$D$104:$AF$134,25,0)</f>
        <v>24640</v>
      </c>
      <c r="D790" s="7">
        <f t="shared" si="208"/>
        <v>2.5669642857142856</v>
      </c>
      <c r="G790" s="12">
        <f>+VLOOKUP(A790,'Undivideable Expenses'!$D$104:$AA$134,24,0)</f>
        <v>4191.45</v>
      </c>
      <c r="H790" s="12">
        <f t="shared" ref="H790" si="210">+G790/100*D790</f>
        <v>107.59302455357141</v>
      </c>
    </row>
    <row r="791" spans="1:8" x14ac:dyDescent="0.25">
      <c r="A791" s="6">
        <v>45871</v>
      </c>
      <c r="B791" s="7">
        <v>115</v>
      </c>
      <c r="C791">
        <f>+VLOOKUP(A791,'Undivideable Expenses'!$D$104:$AF$134,25,0)</f>
        <v>20507</v>
      </c>
      <c r="D791" s="7">
        <f t="shared" ref="D791:D795" si="211">+B791/C791*100</f>
        <v>0.56078412249475784</v>
      </c>
      <c r="G791" s="12">
        <f>+VLOOKUP(A791,'Undivideable Expenses'!$D$104:$AA$134,24,0)</f>
        <v>3883.6800000000003</v>
      </c>
      <c r="H791" s="12">
        <f t="shared" ref="H791:H795" si="212">+G791/100*D791</f>
        <v>21.779060808504415</v>
      </c>
    </row>
    <row r="792" spans="1:8" x14ac:dyDescent="0.25">
      <c r="A792" s="6">
        <v>45873</v>
      </c>
      <c r="B792" s="7">
        <v>517.5</v>
      </c>
      <c r="C792">
        <f>+VLOOKUP(A792,'Undivideable Expenses'!$D$104:$AF$134,25,0)</f>
        <v>18660</v>
      </c>
      <c r="D792" s="7">
        <f t="shared" si="211"/>
        <v>2.7733118971061095</v>
      </c>
      <c r="G792" s="12">
        <f>+VLOOKUP(A792,'Undivideable Expenses'!$D$104:$AA$134,24,0)</f>
        <v>3492.6099999999997</v>
      </c>
      <c r="H792" s="12">
        <f t="shared" si="212"/>
        <v>96.860968649517687</v>
      </c>
    </row>
    <row r="793" spans="1:8" x14ac:dyDescent="0.25">
      <c r="A793" s="6">
        <v>45874</v>
      </c>
      <c r="B793" s="7">
        <v>575</v>
      </c>
      <c r="C793">
        <f>+VLOOKUP(A793,'Undivideable Expenses'!$D$104:$AF$134,25,0)</f>
        <v>22530</v>
      </c>
      <c r="D793" s="7">
        <f t="shared" si="211"/>
        <v>2.5521526853084775</v>
      </c>
      <c r="G793" s="12">
        <f>+VLOOKUP(A793,'Undivideable Expenses'!$D$104:$AA$134,24,0)</f>
        <v>3340.7999999999997</v>
      </c>
      <c r="H793" s="12">
        <f t="shared" si="212"/>
        <v>85.2623169107856</v>
      </c>
    </row>
    <row r="794" spans="1:8" x14ac:dyDescent="0.25">
      <c r="A794" s="6">
        <v>45875</v>
      </c>
      <c r="B794" s="7">
        <v>115</v>
      </c>
      <c r="C794">
        <f>+VLOOKUP(A794,'Undivideable Expenses'!$D$104:$AF$134,25,0)</f>
        <v>23607.5</v>
      </c>
      <c r="D794" s="7">
        <f t="shared" si="211"/>
        <v>0.48713332627343009</v>
      </c>
      <c r="G794" s="12">
        <f>+VLOOKUP(A794,'Undivideable Expenses'!$D$104:$AA$134,24,0)</f>
        <v>4156.72</v>
      </c>
      <c r="H794" s="12">
        <f t="shared" si="212"/>
        <v>20.248768399872922</v>
      </c>
    </row>
    <row r="795" spans="1:8" x14ac:dyDescent="0.25">
      <c r="A795" s="6">
        <v>45876</v>
      </c>
      <c r="B795" s="7">
        <v>348.75</v>
      </c>
      <c r="C795">
        <f>+VLOOKUP(A795,'Undivideable Expenses'!$D$104:$AF$134,25,0)</f>
        <v>22606.25</v>
      </c>
      <c r="D795" s="7">
        <f t="shared" si="211"/>
        <v>1.5427149571468066</v>
      </c>
      <c r="G795" s="12">
        <f>+VLOOKUP(A795,'Undivideable Expenses'!$D$104:$AA$134,24,0)</f>
        <v>4386.2</v>
      </c>
      <c r="H795" s="12">
        <f t="shared" si="212"/>
        <v>67.666563450373218</v>
      </c>
    </row>
    <row r="799" spans="1:8" x14ac:dyDescent="0.25">
      <c r="A799" s="11" t="s">
        <v>110</v>
      </c>
    </row>
    <row r="800" spans="1:8" x14ac:dyDescent="0.25">
      <c r="A800" s="8" t="s">
        <v>6</v>
      </c>
      <c r="B800" s="8" t="s">
        <v>111</v>
      </c>
      <c r="C800" s="22" t="s">
        <v>50</v>
      </c>
      <c r="D800" s="22" t="s">
        <v>9</v>
      </c>
    </row>
    <row r="801" spans="1:8" x14ac:dyDescent="0.25">
      <c r="A801" s="6">
        <v>45859</v>
      </c>
      <c r="B801" s="7">
        <v>1293.75</v>
      </c>
      <c r="C801" s="12">
        <f>+VLOOKUP(A801,'Undivideable Expenses'!$D$70:$AF$100,25,0)</f>
        <v>21283.5</v>
      </c>
      <c r="D801" s="7">
        <f t="shared" ref="D801" si="213">+B801/C801*100</f>
        <v>6.0786524772711257</v>
      </c>
      <c r="G801" s="12">
        <f>+VLOOKUP(A801,'Undivideable Expenses'!$D$70:$AA$100,24,0)</f>
        <v>3814.75</v>
      </c>
      <c r="H801" s="12">
        <f t="shared" ref="H801" si="214">+G801/100*D801</f>
        <v>231.88539537670027</v>
      </c>
    </row>
    <row r="802" spans="1:8" x14ac:dyDescent="0.25">
      <c r="A802" s="6">
        <v>45860</v>
      </c>
      <c r="B802" s="7">
        <v>1546.25</v>
      </c>
      <c r="C802" s="12">
        <f>+VLOOKUP(A802,'Undivideable Expenses'!$D$70:$AF$100,25,0)</f>
        <v>21203</v>
      </c>
      <c r="D802" s="7">
        <f t="shared" ref="D802:D805" si="215">+B802/C802*100</f>
        <v>7.2926001037589021</v>
      </c>
      <c r="G802" s="12">
        <f>+VLOOKUP(A802,'Undivideable Expenses'!$D$70:$AA$100,24,0)</f>
        <v>3650.4799999999996</v>
      </c>
      <c r="H802" s="12">
        <f t="shared" ref="H802:H805" si="216">+G802/100*D802</f>
        <v>266.21490826769792</v>
      </c>
    </row>
    <row r="803" spans="1:8" x14ac:dyDescent="0.25">
      <c r="A803" s="6">
        <v>45861</v>
      </c>
      <c r="B803" s="7">
        <v>951.25</v>
      </c>
      <c r="C803" s="12">
        <f>+VLOOKUP(A803,'Undivideable Expenses'!$D$70:$AF$100,25,0)</f>
        <v>20952</v>
      </c>
      <c r="D803" s="7">
        <f t="shared" si="215"/>
        <v>4.540139366170294</v>
      </c>
      <c r="G803" s="12">
        <f>+VLOOKUP(A803,'Undivideable Expenses'!$D$70:$AA$100,24,0)</f>
        <v>3887.49</v>
      </c>
      <c r="H803" s="12">
        <f t="shared" si="216"/>
        <v>176.49746384593354</v>
      </c>
    </row>
    <row r="804" spans="1:8" x14ac:dyDescent="0.25">
      <c r="A804" s="6">
        <v>45862</v>
      </c>
      <c r="B804" s="7">
        <v>255</v>
      </c>
      <c r="C804" s="12">
        <f>+VLOOKUP(A804,'Undivideable Expenses'!$D$70:$AF$100,25,0)</f>
        <v>20215</v>
      </c>
      <c r="D804" s="7">
        <f t="shared" si="215"/>
        <v>1.26143952510512</v>
      </c>
      <c r="G804" s="12">
        <f>+VLOOKUP(A804,'Undivideable Expenses'!$D$70:$AA$100,24,0)</f>
        <v>3783.61</v>
      </c>
      <c r="H804" s="12">
        <f t="shared" si="216"/>
        <v>47.727952015829835</v>
      </c>
    </row>
    <row r="805" spans="1:8" x14ac:dyDescent="0.25">
      <c r="A805" s="6">
        <v>45893</v>
      </c>
      <c r="B805" s="7">
        <v>869.92063492063494</v>
      </c>
      <c r="C805">
        <f>+VLOOKUP(A805,'Undivideable Expenses'!$D$104:$AF$134,25,0)</f>
        <v>15682.42</v>
      </c>
      <c r="D805" s="7">
        <f t="shared" si="215"/>
        <v>5.5471071105137781</v>
      </c>
      <c r="G805" s="12">
        <f>+VLOOKUP(A805,'Undivideable Expenses'!$D$104:$AA$134,24,0)</f>
        <v>3480.49</v>
      </c>
      <c r="H805" s="12">
        <f t="shared" si="216"/>
        <v>193.06650827072099</v>
      </c>
    </row>
    <row r="806" spans="1:8" x14ac:dyDescent="0.25">
      <c r="A806" s="6">
        <v>45894</v>
      </c>
      <c r="B806" s="7">
        <v>2452.5</v>
      </c>
      <c r="C806">
        <f>+VLOOKUP(A806,'Undivideable Expenses'!$D$104:$AF$134,25,0)</f>
        <v>27073.75</v>
      </c>
      <c r="D806" s="7">
        <f t="shared" ref="D806" si="217">+B806/C806*100</f>
        <v>9.0585899626021504</v>
      </c>
      <c r="G806" s="12">
        <f>+VLOOKUP(A806,'Undivideable Expenses'!$D$104:$AA$134,24,0)</f>
        <v>4548.1900000000005</v>
      </c>
      <c r="H806" s="12">
        <f t="shared" ref="H806" si="218">+G806/100*D806</f>
        <v>412.0018828200748</v>
      </c>
    </row>
    <row r="807" spans="1:8" x14ac:dyDescent="0.25">
      <c r="A807" s="6"/>
      <c r="B807" s="7"/>
    </row>
    <row r="808" spans="1:8" x14ac:dyDescent="0.25">
      <c r="A808" t="s">
        <v>287</v>
      </c>
    </row>
    <row r="809" spans="1:8" x14ac:dyDescent="0.25">
      <c r="A809" s="8" t="s">
        <v>6</v>
      </c>
      <c r="B809" s="8" t="s">
        <v>288</v>
      </c>
      <c r="C809" s="22" t="s">
        <v>50</v>
      </c>
      <c r="D809" s="22" t="s">
        <v>9</v>
      </c>
    </row>
    <row r="810" spans="1:8" x14ac:dyDescent="0.25">
      <c r="A810" s="6">
        <v>45860</v>
      </c>
      <c r="B810" s="7">
        <v>3133.75</v>
      </c>
      <c r="C810" s="12">
        <f>+VLOOKUP(A810,'Undivideable Expenses'!$D$70:$AF$100,25,0)</f>
        <v>21203</v>
      </c>
      <c r="D810" s="7">
        <f t="shared" ref="D810" si="219">+B810/C810*100</f>
        <v>14.77974814884686</v>
      </c>
      <c r="G810" s="12">
        <f>+VLOOKUP(A810,'Undivideable Expenses'!$D$70:$AA$100,24,0)</f>
        <v>3650.4799999999996</v>
      </c>
      <c r="H810" s="12">
        <f t="shared" ref="H810" si="220">+G810/100*D810</f>
        <v>539.53175022402479</v>
      </c>
    </row>
    <row r="811" spans="1:8" x14ac:dyDescent="0.25">
      <c r="A811" s="6">
        <v>45861</v>
      </c>
      <c r="B811" s="7">
        <v>3976.25</v>
      </c>
      <c r="C811" s="12">
        <f>+VLOOKUP(A811,'Undivideable Expenses'!$D$70:$AF$100,25,0)</f>
        <v>20952</v>
      </c>
      <c r="D811" s="7">
        <f t="shared" ref="D811:D816" si="221">+B811/C811*100</f>
        <v>18.977901870943111</v>
      </c>
      <c r="G811" s="12">
        <f>+VLOOKUP(A811,'Undivideable Expenses'!$D$70:$AA$100,24,0)</f>
        <v>3887.49</v>
      </c>
      <c r="H811" s="12">
        <f t="shared" ref="H811:H816" si="222">+G811/100*D811</f>
        <v>737.76403744272625</v>
      </c>
    </row>
    <row r="812" spans="1:8" x14ac:dyDescent="0.25">
      <c r="A812" s="6">
        <v>45862</v>
      </c>
      <c r="B812" s="7">
        <v>4237.5</v>
      </c>
      <c r="C812" s="12">
        <f>+VLOOKUP(A812,'Undivideable Expenses'!$D$70:$AF$100,25,0)</f>
        <v>20215</v>
      </c>
      <c r="D812" s="7">
        <f t="shared" si="221"/>
        <v>20.962156814246846</v>
      </c>
      <c r="G812" s="12">
        <f>+VLOOKUP(A812,'Undivideable Expenses'!$D$70:$AA$100,24,0)</f>
        <v>3783.61</v>
      </c>
      <c r="H812" s="12">
        <f t="shared" si="222"/>
        <v>793.12626143952514</v>
      </c>
    </row>
    <row r="813" spans="1:8" x14ac:dyDescent="0.25">
      <c r="A813" s="6">
        <v>45863</v>
      </c>
      <c r="B813" s="7">
        <v>2737.5</v>
      </c>
      <c r="C813" s="12">
        <f>+VLOOKUP(A813,'Undivideable Expenses'!$D$70:$AF$100,25,0)</f>
        <v>20752</v>
      </c>
      <c r="D813" s="7">
        <f t="shared" si="221"/>
        <v>13.191499614494989</v>
      </c>
      <c r="G813" s="12">
        <f>+VLOOKUP(A813,'Undivideable Expenses'!$D$70:$AA$100,24,0)</f>
        <v>3891.1500000000005</v>
      </c>
      <c r="H813" s="12">
        <f t="shared" si="222"/>
        <v>513.30103724942182</v>
      </c>
    </row>
    <row r="814" spans="1:8" x14ac:dyDescent="0.25">
      <c r="A814" s="6">
        <v>45864</v>
      </c>
      <c r="B814" s="7">
        <v>121.25</v>
      </c>
      <c r="C814" s="12">
        <f>+VLOOKUP(A814,'Undivideable Expenses'!$D$70:$AF$100,25,0)</f>
        <v>20851</v>
      </c>
      <c r="D814" s="7">
        <f t="shared" si="221"/>
        <v>0.58150688216392499</v>
      </c>
      <c r="G814" s="12">
        <f>+VLOOKUP(A814,'Undivideable Expenses'!$D$70:$AA$100,24,0)</f>
        <v>4637.87</v>
      </c>
      <c r="H814" s="12">
        <f t="shared" si="222"/>
        <v>26.96953323581603</v>
      </c>
    </row>
    <row r="815" spans="1:8" x14ac:dyDescent="0.25">
      <c r="A815" s="6">
        <v>45868</v>
      </c>
      <c r="B815" s="7">
        <v>172.5</v>
      </c>
      <c r="C815" s="12">
        <f>+VLOOKUP(A815,'Undivideable Expenses'!$D$70:$AF$100,25,0)</f>
        <v>20230</v>
      </c>
      <c r="D815" s="7">
        <f t="shared" si="221"/>
        <v>0.8526940187839841</v>
      </c>
      <c r="G815" s="12">
        <f>+VLOOKUP(A815,'Undivideable Expenses'!$D$70:$AA$100,24,0)</f>
        <v>4589.82</v>
      </c>
      <c r="H815" s="12">
        <f t="shared" si="222"/>
        <v>39.137120612951058</v>
      </c>
    </row>
    <row r="816" spans="1:8" x14ac:dyDescent="0.25">
      <c r="A816" s="6">
        <v>45875</v>
      </c>
      <c r="B816" s="7">
        <v>1097.5</v>
      </c>
      <c r="C816" s="12">
        <f>+VLOOKUP(A816,'Undivideable Expenses'!$D$104:$AF$134,25,0)</f>
        <v>23607.5</v>
      </c>
      <c r="D816" s="7">
        <f t="shared" si="221"/>
        <v>4.6489463094355612</v>
      </c>
      <c r="G816" s="12">
        <f>+VLOOKUP(A816,'Undivideable Expenses'!$D$104:$AA$134,24,0)</f>
        <v>4156.72</v>
      </c>
      <c r="H816" s="12">
        <f t="shared" si="222"/>
        <v>193.24368103356986</v>
      </c>
    </row>
    <row r="817" spans="1:8" x14ac:dyDescent="0.25">
      <c r="A817" s="6">
        <v>45876</v>
      </c>
      <c r="B817" s="7">
        <v>3185</v>
      </c>
      <c r="C817" s="12">
        <f>+VLOOKUP(A817,'Undivideable Expenses'!$D$104:$AF$134,25,0)</f>
        <v>22606.25</v>
      </c>
      <c r="D817" s="7">
        <f t="shared" ref="D817:D826" si="223">+B817/C817*100</f>
        <v>14.089024053082666</v>
      </c>
      <c r="G817" s="12">
        <f>+VLOOKUP(A817,'Undivideable Expenses'!$D$104:$AA$134,24,0)</f>
        <v>4386.2</v>
      </c>
      <c r="H817" s="12">
        <f t="shared" ref="H817:H826" si="224">+G817/100*D817</f>
        <v>617.97277301631175</v>
      </c>
    </row>
    <row r="818" spans="1:8" x14ac:dyDescent="0.25">
      <c r="A818" s="6">
        <v>45877</v>
      </c>
      <c r="B818" s="7">
        <v>2876.25</v>
      </c>
      <c r="C818" s="12">
        <f>+VLOOKUP(A818,'Undivideable Expenses'!$D$104:$AF$134,25,0)</f>
        <v>23016.25</v>
      </c>
      <c r="D818" s="7">
        <f t="shared" si="223"/>
        <v>12.49660565904524</v>
      </c>
      <c r="G818" s="12">
        <f>+VLOOKUP(A818,'Undivideable Expenses'!$D$104:$AA$134,24,0)</f>
        <v>4684.3999999999996</v>
      </c>
      <c r="H818" s="12">
        <f t="shared" si="224"/>
        <v>585.39099549231514</v>
      </c>
    </row>
    <row r="819" spans="1:8" x14ac:dyDescent="0.25">
      <c r="A819" s="6">
        <v>45880</v>
      </c>
      <c r="B819" s="7">
        <v>2002.1875</v>
      </c>
      <c r="C819" s="12">
        <f>+VLOOKUP(A819,'Undivideable Expenses'!$D$104:$AF$134,25,0)</f>
        <v>16622.5</v>
      </c>
      <c r="D819" s="7">
        <f t="shared" si="223"/>
        <v>12.045044367574071</v>
      </c>
      <c r="G819" s="12">
        <f>+VLOOKUP(A819,'Undivideable Expenses'!$D$104:$AA$134,24,0)</f>
        <v>1798.2399999999998</v>
      </c>
      <c r="H819" s="12">
        <f t="shared" si="224"/>
        <v>216.59880583546396</v>
      </c>
    </row>
    <row r="820" spans="1:8" x14ac:dyDescent="0.25">
      <c r="A820" s="6">
        <v>45881</v>
      </c>
      <c r="B820" s="7">
        <v>3813.75</v>
      </c>
      <c r="C820" s="12">
        <f>+VLOOKUP(A820,'Undivideable Expenses'!$D$104:$AF$134,25,0)</f>
        <v>24345</v>
      </c>
      <c r="D820" s="7">
        <f t="shared" si="223"/>
        <v>15.665434380776341</v>
      </c>
      <c r="G820" s="12">
        <f>+VLOOKUP(A820,'Undivideable Expenses'!$D$104:$AA$134,24,0)</f>
        <v>4295.7400000000007</v>
      </c>
      <c r="H820" s="12">
        <f t="shared" si="224"/>
        <v>672.94633086876172</v>
      </c>
    </row>
    <row r="821" spans="1:8" x14ac:dyDescent="0.25">
      <c r="A821" s="6">
        <v>45882</v>
      </c>
      <c r="B821" s="7">
        <v>3005</v>
      </c>
      <c r="C821" s="12">
        <f>+VLOOKUP(A821,'Undivideable Expenses'!$D$104:$AF$134,25,0)</f>
        <v>26184.17</v>
      </c>
      <c r="D821" s="7">
        <f t="shared" si="223"/>
        <v>11.476399672015573</v>
      </c>
      <c r="G821" s="12">
        <f>+VLOOKUP(A821,'Undivideable Expenses'!$D$104:$AA$134,24,0)</f>
        <v>3957.21</v>
      </c>
      <c r="H821" s="12">
        <f t="shared" si="224"/>
        <v>454.14523546096746</v>
      </c>
    </row>
    <row r="822" spans="1:8" x14ac:dyDescent="0.25">
      <c r="A822" s="6">
        <v>45883</v>
      </c>
      <c r="B822" s="7">
        <v>1697.5</v>
      </c>
      <c r="C822" s="12">
        <f>+VLOOKUP(A822,'Undivideable Expenses'!$D$104:$AF$134,25,0)</f>
        <v>26731.25</v>
      </c>
      <c r="D822" s="7">
        <f t="shared" si="223"/>
        <v>6.3502454991816695</v>
      </c>
      <c r="G822" s="12">
        <f>+VLOOKUP(A822,'Undivideable Expenses'!$D$104:$AA$134,24,0)</f>
        <v>4330.0099999999993</v>
      </c>
      <c r="H822" s="12">
        <f t="shared" si="224"/>
        <v>274.96626513911616</v>
      </c>
    </row>
    <row r="823" spans="1:8" x14ac:dyDescent="0.25">
      <c r="A823" s="6">
        <v>45884</v>
      </c>
      <c r="B823" s="7">
        <v>180</v>
      </c>
      <c r="C823" s="12">
        <f>+VLOOKUP(A823,'Undivideable Expenses'!$D$104:$AF$134,25,0)</f>
        <v>20656</v>
      </c>
      <c r="D823" s="7">
        <f t="shared" si="223"/>
        <v>0.8714175058094501</v>
      </c>
      <c r="G823" s="12">
        <f>+VLOOKUP(A823,'Undivideable Expenses'!$D$104:$AA$134,24,0)</f>
        <v>3357.6000000000004</v>
      </c>
      <c r="H823" s="12">
        <f t="shared" si="224"/>
        <v>29.258714175058095</v>
      </c>
    </row>
    <row r="824" spans="1:8" x14ac:dyDescent="0.25">
      <c r="A824" s="6">
        <v>45885</v>
      </c>
      <c r="B824" s="7">
        <v>115</v>
      </c>
      <c r="C824" s="12">
        <f>+VLOOKUP(A824,'Undivideable Expenses'!$D$104:$AF$134,25,0)</f>
        <v>21450</v>
      </c>
      <c r="D824" s="7">
        <f t="shared" si="223"/>
        <v>0.53613053613053618</v>
      </c>
      <c r="G824" s="12">
        <f>+VLOOKUP(A824,'Undivideable Expenses'!$D$104:$AA$134,24,0)</f>
        <v>4085.5499999999997</v>
      </c>
      <c r="H824" s="12">
        <f t="shared" si="224"/>
        <v>21.90388111888112</v>
      </c>
    </row>
    <row r="825" spans="1:8" x14ac:dyDescent="0.25">
      <c r="A825" s="6">
        <v>45887</v>
      </c>
      <c r="B825" s="7">
        <v>352.5</v>
      </c>
      <c r="C825" s="12">
        <f>+VLOOKUP(A825,'Undivideable Expenses'!$D$104:$AF$134,25,0)</f>
        <v>25291.56</v>
      </c>
      <c r="D825" s="7">
        <f t="shared" si="223"/>
        <v>1.3937455815299649</v>
      </c>
      <c r="G825" s="12">
        <f>+VLOOKUP(A825,'Undivideable Expenses'!$D$104:$AA$134,24,0)</f>
        <v>4024.5600000000004</v>
      </c>
      <c r="H825" s="12">
        <f t="shared" si="224"/>
        <v>56.092127176022359</v>
      </c>
    </row>
    <row r="826" spans="1:8" x14ac:dyDescent="0.25">
      <c r="A826" s="6">
        <v>45888</v>
      </c>
      <c r="B826" s="7">
        <v>61.25</v>
      </c>
      <c r="C826" s="12">
        <f>+VLOOKUP(A826,'Undivideable Expenses'!$D$104:$AF$134,25,0)</f>
        <v>26357.5</v>
      </c>
      <c r="D826" s="7">
        <f t="shared" si="223"/>
        <v>0.23238167504505358</v>
      </c>
      <c r="G826" s="12">
        <f>+VLOOKUP(A826,'Undivideable Expenses'!$D$104:$AA$134,24,0)</f>
        <v>4637.76</v>
      </c>
      <c r="H826" s="12">
        <f t="shared" si="224"/>
        <v>10.777304372569477</v>
      </c>
    </row>
    <row r="829" spans="1:8" x14ac:dyDescent="0.25">
      <c r="A829" t="s">
        <v>112</v>
      </c>
    </row>
    <row r="830" spans="1:8" x14ac:dyDescent="0.25">
      <c r="A830" s="8" t="s">
        <v>6</v>
      </c>
      <c r="B830" s="8" t="s">
        <v>113</v>
      </c>
      <c r="C830" s="22" t="s">
        <v>50</v>
      </c>
      <c r="D830" s="22" t="s">
        <v>9</v>
      </c>
    </row>
    <row r="831" spans="1:8" x14ac:dyDescent="0.25">
      <c r="A831" s="6">
        <v>45863</v>
      </c>
      <c r="B831" s="7">
        <v>458.75</v>
      </c>
      <c r="C831" s="12">
        <f>+VLOOKUP(A831,'Undivideable Expenses'!$D$70:$AF$100,25,0)</f>
        <v>20752</v>
      </c>
      <c r="D831" s="7">
        <f t="shared" ref="D831" si="225">+B831/C831*100</f>
        <v>2.210630300693909</v>
      </c>
      <c r="G831" s="12">
        <f>+VLOOKUP(A831,'Undivideable Expenses'!$D$70:$AA$100,24,0)</f>
        <v>3891.1500000000005</v>
      </c>
      <c r="H831" s="12">
        <f t="shared" ref="H831" si="226">+G831/100*D831</f>
        <v>86.01894094545105</v>
      </c>
    </row>
    <row r="832" spans="1:8" x14ac:dyDescent="0.25">
      <c r="A832" s="6">
        <v>45864</v>
      </c>
      <c r="B832" s="7">
        <v>1868.75</v>
      </c>
      <c r="C832" s="12">
        <f>+VLOOKUP(A832,'Undivideable Expenses'!$D$70:$AF$100,25,0)</f>
        <v>20851</v>
      </c>
      <c r="D832" s="7">
        <f t="shared" ref="D832:D838" si="227">+B832/C832*100</f>
        <v>8.9623998848976072</v>
      </c>
      <c r="G832" s="12">
        <f>+VLOOKUP(A832,'Undivideable Expenses'!$D$70:$AA$100,24,0)</f>
        <v>4637.87</v>
      </c>
      <c r="H832" s="12">
        <f t="shared" ref="H832:H837" si="228">+G832/100*D832</f>
        <v>415.66445554170065</v>
      </c>
    </row>
    <row r="833" spans="1:8" x14ac:dyDescent="0.25">
      <c r="A833" s="6">
        <v>45865</v>
      </c>
      <c r="B833" s="7">
        <v>3933.333333333333</v>
      </c>
      <c r="C833" s="12">
        <f>+VLOOKUP(A833,'Undivideable Expenses'!$D$70:$AF$100,25,0)</f>
        <v>16189.375</v>
      </c>
      <c r="D833" s="7">
        <f t="shared" si="227"/>
        <v>24.295770116717495</v>
      </c>
      <c r="G833" s="12">
        <f>+VLOOKUP(A833,'Undivideable Expenses'!$D$70:$AA$100,24,0)</f>
        <v>3278.9500000000003</v>
      </c>
      <c r="H833" s="12">
        <f t="shared" si="228"/>
        <v>796.64615424210842</v>
      </c>
    </row>
    <row r="834" spans="1:8" x14ac:dyDescent="0.25">
      <c r="A834" s="6">
        <v>45866</v>
      </c>
      <c r="B834" s="7">
        <v>7362.916666666667</v>
      </c>
      <c r="C834" s="12">
        <f>+VLOOKUP(A834,'Undivideable Expenses'!$D$70:$AF$100,25,0)</f>
        <v>22146.25</v>
      </c>
      <c r="D834" s="7">
        <f t="shared" si="227"/>
        <v>33.246787454610448</v>
      </c>
      <c r="G834" s="12">
        <f>+VLOOKUP(A834,'Undivideable Expenses'!$D$70:$AA$100,24,0)</f>
        <v>4734.17</v>
      </c>
      <c r="H834" s="12">
        <f t="shared" si="228"/>
        <v>1573.9594376399316</v>
      </c>
    </row>
    <row r="835" spans="1:8" x14ac:dyDescent="0.25">
      <c r="A835" s="6">
        <v>45867</v>
      </c>
      <c r="B835" s="7">
        <v>9126.25</v>
      </c>
      <c r="C835" s="12">
        <f>+VLOOKUP(A835,'Undivideable Expenses'!$D$70:$AF$100,25,0)</f>
        <v>23655</v>
      </c>
      <c r="D835" s="7">
        <f t="shared" si="227"/>
        <v>38.580638342845063</v>
      </c>
      <c r="G835" s="12">
        <f>+VLOOKUP(A835,'Undivideable Expenses'!$D$70:$AA$100,24,0)</f>
        <v>3369.74</v>
      </c>
      <c r="H835" s="12">
        <f t="shared" si="228"/>
        <v>1300.0672024941871</v>
      </c>
    </row>
    <row r="836" spans="1:8" x14ac:dyDescent="0.25">
      <c r="A836" s="6">
        <v>45868</v>
      </c>
      <c r="B836" s="7">
        <v>10338.75</v>
      </c>
      <c r="C836" s="12">
        <f>+VLOOKUP(A836,'Undivideable Expenses'!$D$70:$AF$100,25,0)</f>
        <v>20230</v>
      </c>
      <c r="D836" s="7">
        <f t="shared" si="227"/>
        <v>51.106030647553133</v>
      </c>
      <c r="G836" s="12">
        <f>+VLOOKUP(A836,'Undivideable Expenses'!$D$70:$AA$100,24,0)</f>
        <v>4589.82</v>
      </c>
      <c r="H836" s="12">
        <f t="shared" si="228"/>
        <v>2345.6748158675232</v>
      </c>
    </row>
    <row r="837" spans="1:8" x14ac:dyDescent="0.25">
      <c r="A837" s="6">
        <v>45869</v>
      </c>
      <c r="B837" s="7">
        <v>9062.5</v>
      </c>
      <c r="C837" s="12">
        <f>+VLOOKUP(A837,'Undivideable Expenses'!$D$70:$AF$100,25,0)</f>
        <v>18656.25</v>
      </c>
      <c r="D837" s="7">
        <f t="shared" si="227"/>
        <v>48.576214405360133</v>
      </c>
      <c r="G837" s="12">
        <f>+VLOOKUP(A837,'Undivideable Expenses'!$D$70:$AA$100,24,0)</f>
        <v>3641.3899999999994</v>
      </c>
      <c r="H837" s="12">
        <f t="shared" si="228"/>
        <v>1768.849413735343</v>
      </c>
    </row>
    <row r="838" spans="1:8" x14ac:dyDescent="0.25">
      <c r="A838" s="6">
        <v>45870</v>
      </c>
      <c r="B838" s="7">
        <v>8098.75</v>
      </c>
      <c r="C838" s="12">
        <f>+VLOOKUP(A838,'Undivideable Expenses'!$D$104:$AF$134,25,0)</f>
        <v>24640</v>
      </c>
      <c r="D838" s="7">
        <f t="shared" si="227"/>
        <v>32.868303571428569</v>
      </c>
      <c r="G838" s="12">
        <f>+VLOOKUP(A838,'Undivideable Expenses'!$D$104:$AA$134,24,0)</f>
        <v>4191.45</v>
      </c>
      <c r="H838" s="12">
        <f t="shared" ref="H838:H842" si="229">+G838/100*D838</f>
        <v>1377.6585100446428</v>
      </c>
    </row>
    <row r="839" spans="1:8" x14ac:dyDescent="0.25">
      <c r="A839" s="6">
        <v>45871</v>
      </c>
      <c r="B839" s="7">
        <v>6365</v>
      </c>
      <c r="C839" s="12">
        <f>+VLOOKUP(A839,'Undivideable Expenses'!$D$104:$AF$134,25,0)</f>
        <v>20507</v>
      </c>
      <c r="D839" s="7">
        <f t="shared" ref="D839:D843" si="230">+B839/C839*100</f>
        <v>31.038182084166383</v>
      </c>
      <c r="G839" s="12">
        <f>+VLOOKUP(A839,'Undivideable Expenses'!$D$104:$AA$134,24,0)</f>
        <v>3883.6800000000003</v>
      </c>
      <c r="H839" s="12">
        <f t="shared" si="229"/>
        <v>1205.4236699663531</v>
      </c>
    </row>
    <row r="840" spans="1:8" x14ac:dyDescent="0.25">
      <c r="A840" s="6">
        <v>45873</v>
      </c>
      <c r="B840" s="7">
        <v>3962.5</v>
      </c>
      <c r="C840" s="12">
        <f>+VLOOKUP(A840,'Undivideable Expenses'!$D$104:$AF$134,25,0)</f>
        <v>18660</v>
      </c>
      <c r="D840" s="7">
        <f t="shared" si="230"/>
        <v>21.235262593783492</v>
      </c>
      <c r="G840" s="12">
        <f>+VLOOKUP(A840,'Undivideable Expenses'!$D$104:$AA$134,24,0)</f>
        <v>3492.6099999999997</v>
      </c>
      <c r="H840" s="12">
        <f t="shared" si="229"/>
        <v>741.66490487674162</v>
      </c>
    </row>
    <row r="841" spans="1:8" x14ac:dyDescent="0.25">
      <c r="A841" s="6">
        <v>45874</v>
      </c>
      <c r="B841" s="7">
        <v>3148.75</v>
      </c>
      <c r="C841" s="12">
        <f>+VLOOKUP(A841,'Undivideable Expenses'!$D$104:$AF$134,25,0)</f>
        <v>22530</v>
      </c>
      <c r="D841" s="7">
        <f t="shared" si="230"/>
        <v>13.975810031069685</v>
      </c>
      <c r="G841" s="12">
        <f>+VLOOKUP(A841,'Undivideable Expenses'!$D$104:$AA$134,24,0)</f>
        <v>3340.7999999999997</v>
      </c>
      <c r="H841" s="12">
        <f t="shared" si="229"/>
        <v>466.90386151797594</v>
      </c>
    </row>
    <row r="842" spans="1:8" x14ac:dyDescent="0.25">
      <c r="A842" s="6">
        <v>45875</v>
      </c>
      <c r="B842" s="7">
        <v>1183.75</v>
      </c>
      <c r="C842" s="12">
        <f>+VLOOKUP(A842,'Undivideable Expenses'!$D$104:$AF$134,25,0)</f>
        <v>23607.5</v>
      </c>
      <c r="D842" s="7">
        <f t="shared" si="230"/>
        <v>5.0142963041406334</v>
      </c>
      <c r="G842" s="12">
        <f>+VLOOKUP(A842,'Undivideable Expenses'!$D$104:$AA$134,24,0)</f>
        <v>4156.72</v>
      </c>
      <c r="H842" s="12">
        <f t="shared" si="229"/>
        <v>208.43025733347454</v>
      </c>
    </row>
    <row r="843" spans="1:8" x14ac:dyDescent="0.25">
      <c r="A843" s="6">
        <v>45877</v>
      </c>
      <c r="B843" s="7">
        <v>217.5</v>
      </c>
      <c r="C843" s="12">
        <f>+VLOOKUP(A843,'Undivideable Expenses'!$D$104:$AF$134,25,0)</f>
        <v>23016.25</v>
      </c>
      <c r="D843" s="7">
        <f t="shared" si="230"/>
        <v>0.94498452180524639</v>
      </c>
      <c r="G843" s="12">
        <f>+VLOOKUP(A843,'Undivideable Expenses'!$D$104:$AA$134,24,0)</f>
        <v>4684.3999999999996</v>
      </c>
      <c r="H843" s="12">
        <f t="shared" ref="H843" si="231">+G843/100*D843</f>
        <v>44.266854939444954</v>
      </c>
    </row>
    <row r="845" spans="1:8" x14ac:dyDescent="0.25">
      <c r="A845" t="s">
        <v>114</v>
      </c>
    </row>
    <row r="846" spans="1:8" x14ac:dyDescent="0.25">
      <c r="A846" s="8" t="s">
        <v>6</v>
      </c>
      <c r="B846" s="8" t="s">
        <v>115</v>
      </c>
      <c r="C846" s="22" t="s">
        <v>50</v>
      </c>
      <c r="D846" s="22" t="s">
        <v>9</v>
      </c>
    </row>
    <row r="847" spans="1:8" x14ac:dyDescent="0.25">
      <c r="A847" s="6">
        <v>45866</v>
      </c>
      <c r="B847" s="7">
        <v>983.75</v>
      </c>
      <c r="C847" s="12">
        <f>+VLOOKUP(A847,'Undivideable Expenses'!$D$70:$AF$100,25,0)</f>
        <v>22146.25</v>
      </c>
      <c r="D847" s="7">
        <f t="shared" ref="D847" si="232">+B847/C847*100</f>
        <v>4.4420612970593218</v>
      </c>
      <c r="G847" s="12">
        <f>+VLOOKUP(A847,'Undivideable Expenses'!$D$70:$AA$100,24,0)</f>
        <v>4734.17</v>
      </c>
      <c r="H847" s="12">
        <f t="shared" ref="H847" si="233">+G847/100*D847</f>
        <v>210.29473330699332</v>
      </c>
    </row>
    <row r="848" spans="1:8" x14ac:dyDescent="0.25">
      <c r="A848" s="6">
        <v>45867</v>
      </c>
      <c r="B848" s="7">
        <v>3610</v>
      </c>
      <c r="C848" s="12">
        <f>+VLOOKUP(A848,'Undivideable Expenses'!$D$70:$AF$100,25,0)</f>
        <v>23655</v>
      </c>
      <c r="D848" s="7">
        <f t="shared" ref="D848:D851" si="234">+B848/C848*100</f>
        <v>15.261044176706829</v>
      </c>
      <c r="G848" s="12">
        <f>+VLOOKUP(A848,'Undivideable Expenses'!$D$70:$AA$100,24,0)</f>
        <v>3369.74</v>
      </c>
      <c r="H848" s="12">
        <f t="shared" ref="H848:H850" si="235">+G848/100*D848</f>
        <v>514.25751004016058</v>
      </c>
    </row>
    <row r="849" spans="1:8" x14ac:dyDescent="0.25">
      <c r="A849" s="6">
        <v>45868</v>
      </c>
      <c r="B849" s="7">
        <v>2847.5</v>
      </c>
      <c r="C849" s="12">
        <f>+VLOOKUP(A849,'Undivideable Expenses'!$D$70:$AF$100,25,0)</f>
        <v>20230</v>
      </c>
      <c r="D849" s="7">
        <f t="shared" si="234"/>
        <v>14.07563025210084</v>
      </c>
      <c r="G849" s="12">
        <f>+VLOOKUP(A849,'Undivideable Expenses'!$D$70:$AA$100,24,0)</f>
        <v>4589.82</v>
      </c>
      <c r="H849" s="12">
        <f t="shared" si="235"/>
        <v>646.04609243697473</v>
      </c>
    </row>
    <row r="850" spans="1:8" x14ac:dyDescent="0.25">
      <c r="A850" s="6">
        <v>45869</v>
      </c>
      <c r="B850" s="7">
        <v>2117.5</v>
      </c>
      <c r="C850" s="12">
        <f>+VLOOKUP(A850,'Undivideable Expenses'!$D$70:$AF$100,25,0)</f>
        <v>18656.25</v>
      </c>
      <c r="D850" s="7">
        <f t="shared" si="234"/>
        <v>11.350083752093802</v>
      </c>
      <c r="G850" s="12">
        <f>+VLOOKUP(A850,'Undivideable Expenses'!$D$70:$AA$100,24,0)</f>
        <v>3641.3899999999994</v>
      </c>
      <c r="H850" s="12">
        <f t="shared" si="235"/>
        <v>413.30081474036842</v>
      </c>
    </row>
    <row r="851" spans="1:8" x14ac:dyDescent="0.25">
      <c r="A851" s="6">
        <v>45870</v>
      </c>
      <c r="B851" s="7">
        <v>2310</v>
      </c>
      <c r="C851" s="12">
        <f>+VLOOKUP(A851,'Undivideable Expenses'!$D$104:$AF$134,25,0)</f>
        <v>24640</v>
      </c>
      <c r="D851" s="7">
        <f t="shared" si="234"/>
        <v>9.375</v>
      </c>
      <c r="G851" s="12">
        <f>+VLOOKUP(A851,'Undivideable Expenses'!$D$104:$AA$134,24,0)</f>
        <v>4191.45</v>
      </c>
      <c r="H851" s="12">
        <f t="shared" ref="H851" si="236">+G851/100*D851</f>
        <v>392.94843749999995</v>
      </c>
    </row>
    <row r="852" spans="1:8" x14ac:dyDescent="0.25">
      <c r="A852" s="6">
        <v>45871</v>
      </c>
      <c r="B852" s="7">
        <v>1596.25</v>
      </c>
      <c r="C852" s="12">
        <f>+VLOOKUP(A852,'Undivideable Expenses'!$D$104:$AF$134,25,0)</f>
        <v>20507</v>
      </c>
      <c r="D852" s="7">
        <f t="shared" ref="D852:D865" si="237">+B852/C852*100</f>
        <v>7.7839274394109328</v>
      </c>
      <c r="G852" s="12">
        <f>+VLOOKUP(A852,'Undivideable Expenses'!$D$104:$AA$134,24,0)</f>
        <v>3883.6800000000003</v>
      </c>
      <c r="H852" s="12">
        <f t="shared" ref="H852:H865" si="238">+G852/100*D852</f>
        <v>302.30283317891457</v>
      </c>
    </row>
    <row r="853" spans="1:8" x14ac:dyDescent="0.25">
      <c r="A853" s="6">
        <v>45873</v>
      </c>
      <c r="B853" s="7">
        <v>1106.25</v>
      </c>
      <c r="C853" s="12">
        <f>+VLOOKUP(A853,'Undivideable Expenses'!$D$104:$AF$134,25,0)</f>
        <v>18660</v>
      </c>
      <c r="D853" s="7">
        <f t="shared" si="237"/>
        <v>5.928456591639871</v>
      </c>
      <c r="G853" s="12">
        <f>+VLOOKUP(A853,'Undivideable Expenses'!$D$104:$AA$134,24,0)</f>
        <v>3492.6099999999997</v>
      </c>
      <c r="H853" s="12">
        <f t="shared" si="238"/>
        <v>207.0578677652733</v>
      </c>
    </row>
    <row r="854" spans="1:8" x14ac:dyDescent="0.25">
      <c r="A854" s="6">
        <v>45874</v>
      </c>
      <c r="B854" s="7">
        <v>1632.5</v>
      </c>
      <c r="C854" s="12">
        <f>+VLOOKUP(A854,'Undivideable Expenses'!$D$104:$AF$134,25,0)</f>
        <v>22530</v>
      </c>
      <c r="D854" s="7">
        <f t="shared" si="237"/>
        <v>7.2458943630714607</v>
      </c>
      <c r="G854" s="12">
        <f>+VLOOKUP(A854,'Undivideable Expenses'!$D$104:$AA$134,24,0)</f>
        <v>3340.7999999999997</v>
      </c>
      <c r="H854" s="12">
        <f t="shared" si="238"/>
        <v>242.07083888149131</v>
      </c>
    </row>
    <row r="855" spans="1:8" x14ac:dyDescent="0.25">
      <c r="A855" s="6">
        <v>45875</v>
      </c>
      <c r="B855" s="7">
        <v>4408.75</v>
      </c>
      <c r="C855" s="12">
        <f>+VLOOKUP(A855,'Undivideable Expenses'!$D$104:$AF$134,25,0)</f>
        <v>23607.5</v>
      </c>
      <c r="D855" s="7">
        <f t="shared" si="237"/>
        <v>18.67520914963465</v>
      </c>
      <c r="G855" s="12">
        <f>+VLOOKUP(A855,'Undivideable Expenses'!$D$104:$AA$134,24,0)</f>
        <v>4156.72</v>
      </c>
      <c r="H855" s="12">
        <f t="shared" si="238"/>
        <v>776.27615376469339</v>
      </c>
    </row>
    <row r="856" spans="1:8" x14ac:dyDescent="0.25">
      <c r="A856" s="6">
        <v>45876</v>
      </c>
      <c r="B856" s="7">
        <v>1793.75</v>
      </c>
      <c r="C856" s="12">
        <f>+VLOOKUP(A856,'Undivideable Expenses'!$D$104:$AF$134,25,0)</f>
        <v>22606.25</v>
      </c>
      <c r="D856" s="7">
        <f t="shared" si="237"/>
        <v>7.9347525573679842</v>
      </c>
      <c r="G856" s="12">
        <f>+VLOOKUP(A856,'Undivideable Expenses'!$D$104:$AA$134,24,0)</f>
        <v>4386.2</v>
      </c>
      <c r="H856" s="12">
        <f t="shared" si="238"/>
        <v>348.03411667127449</v>
      </c>
    </row>
    <row r="857" spans="1:8" x14ac:dyDescent="0.25">
      <c r="A857" s="6">
        <v>45877</v>
      </c>
      <c r="B857" s="7">
        <v>1671.25</v>
      </c>
      <c r="C857" s="12">
        <f>+VLOOKUP(A857,'Undivideable Expenses'!$D$104:$AF$134,25,0)</f>
        <v>23016.25</v>
      </c>
      <c r="D857" s="7">
        <f t="shared" si="237"/>
        <v>7.2611741704230708</v>
      </c>
      <c r="G857" s="12">
        <f>+VLOOKUP(A857,'Undivideable Expenses'!$D$104:$AA$134,24,0)</f>
        <v>4684.3999999999996</v>
      </c>
      <c r="H857" s="12">
        <f t="shared" si="238"/>
        <v>340.14244283929827</v>
      </c>
    </row>
    <row r="858" spans="1:8" x14ac:dyDescent="0.25">
      <c r="A858" s="6">
        <v>45880</v>
      </c>
      <c r="B858" s="7">
        <v>143.75</v>
      </c>
      <c r="C858" s="12">
        <f>+VLOOKUP(A858,'Undivideable Expenses'!$D$104:$AF$134,25,0)</f>
        <v>16622.5</v>
      </c>
      <c r="D858" s="7">
        <f t="shared" si="237"/>
        <v>0.86479169799969924</v>
      </c>
      <c r="G858" s="12">
        <f>+VLOOKUP(A858,'Undivideable Expenses'!$D$104:$AA$134,24,0)</f>
        <v>1798.2399999999998</v>
      </c>
      <c r="H858" s="12">
        <f t="shared" si="238"/>
        <v>15.55103023010979</v>
      </c>
    </row>
    <row r="859" spans="1:8" x14ac:dyDescent="0.25">
      <c r="A859" s="6">
        <v>45881</v>
      </c>
      <c r="B859" s="7">
        <v>1090</v>
      </c>
      <c r="C859" s="12">
        <f>+VLOOKUP(A859,'Undivideable Expenses'!$D$104:$AF$134,25,0)</f>
        <v>24345</v>
      </c>
      <c r="D859" s="7">
        <f t="shared" si="237"/>
        <v>4.4773054015198186</v>
      </c>
      <c r="G859" s="12">
        <f>+VLOOKUP(A859,'Undivideable Expenses'!$D$104:$AA$134,24,0)</f>
        <v>4295.7400000000007</v>
      </c>
      <c r="H859" s="12">
        <f t="shared" si="238"/>
        <v>192.3333990552475</v>
      </c>
    </row>
    <row r="860" spans="1:8" x14ac:dyDescent="0.25">
      <c r="A860" s="6">
        <v>45882</v>
      </c>
      <c r="B860" s="7">
        <v>2396.25</v>
      </c>
      <c r="C860" s="12">
        <f>+VLOOKUP(A860,'Undivideable Expenses'!$D$104:$AF$134,25,0)</f>
        <v>26184.17</v>
      </c>
      <c r="D860" s="7">
        <f t="shared" si="237"/>
        <v>9.1515217018526851</v>
      </c>
      <c r="G860" s="12">
        <f>+VLOOKUP(A860,'Undivideable Expenses'!$D$104:$AA$134,24,0)</f>
        <v>3957.21</v>
      </c>
      <c r="H860" s="12">
        <f t="shared" si="238"/>
        <v>362.14493193788462</v>
      </c>
    </row>
    <row r="861" spans="1:8" x14ac:dyDescent="0.25">
      <c r="A861" s="6">
        <v>45883</v>
      </c>
      <c r="B861" s="7">
        <v>3955</v>
      </c>
      <c r="C861" s="12">
        <f>+VLOOKUP(A861,'Undivideable Expenses'!$D$104:$AF$134,25,0)</f>
        <v>26731.25</v>
      </c>
      <c r="D861" s="7">
        <f t="shared" si="237"/>
        <v>14.795417348608838</v>
      </c>
      <c r="G861" s="12">
        <f>+VLOOKUP(A861,'Undivideable Expenses'!$D$104:$AA$134,24,0)</f>
        <v>4330.0099999999993</v>
      </c>
      <c r="H861" s="12">
        <f t="shared" si="238"/>
        <v>640.64305073649746</v>
      </c>
    </row>
    <row r="862" spans="1:8" x14ac:dyDescent="0.25">
      <c r="A862" s="6">
        <v>45884</v>
      </c>
      <c r="B862" s="7">
        <v>1916</v>
      </c>
      <c r="C862" s="12">
        <f>+VLOOKUP(A862,'Undivideable Expenses'!$D$104:$AF$134,25,0)</f>
        <v>20656</v>
      </c>
      <c r="D862" s="7">
        <f t="shared" si="237"/>
        <v>9.2757552285050355</v>
      </c>
      <c r="G862" s="12">
        <f>+VLOOKUP(A862,'Undivideable Expenses'!$D$104:$AA$134,24,0)</f>
        <v>3357.6000000000004</v>
      </c>
      <c r="H862" s="12">
        <f t="shared" si="238"/>
        <v>311.44275755228506</v>
      </c>
    </row>
    <row r="863" spans="1:8" x14ac:dyDescent="0.25">
      <c r="A863" s="6">
        <v>45885</v>
      </c>
      <c r="B863" s="7">
        <v>902.5</v>
      </c>
      <c r="C863" s="12">
        <f>+VLOOKUP(A863,'Undivideable Expenses'!$D$104:$AF$134,25,0)</f>
        <v>21450</v>
      </c>
      <c r="D863" s="7">
        <f t="shared" si="237"/>
        <v>4.2074592074592072</v>
      </c>
      <c r="G863" s="12">
        <f>+VLOOKUP(A863,'Undivideable Expenses'!$D$104:$AA$134,24,0)</f>
        <v>4085.5499999999997</v>
      </c>
      <c r="H863" s="12">
        <f t="shared" si="238"/>
        <v>171.89784965034963</v>
      </c>
    </row>
    <row r="864" spans="1:8" x14ac:dyDescent="0.25">
      <c r="A864" s="6">
        <v>45887</v>
      </c>
      <c r="B864" s="7">
        <v>934.0625</v>
      </c>
      <c r="C864" s="12">
        <f>+VLOOKUP(A864,'Undivideable Expenses'!$D$104:$AF$134,25,0)</f>
        <v>25291.56</v>
      </c>
      <c r="D864" s="7">
        <f t="shared" si="237"/>
        <v>3.693178673043497</v>
      </c>
      <c r="G864" s="12">
        <f>+VLOOKUP(A864,'Undivideable Expenses'!$D$104:$AA$134,24,0)</f>
        <v>4024.5600000000004</v>
      </c>
      <c r="H864" s="12">
        <f t="shared" si="238"/>
        <v>148.63419160383938</v>
      </c>
    </row>
    <row r="865" spans="1:8" x14ac:dyDescent="0.25">
      <c r="A865" s="6">
        <v>45888</v>
      </c>
      <c r="B865" s="7">
        <v>451.25</v>
      </c>
      <c r="C865" s="12">
        <f>+VLOOKUP(A865,'Undivideable Expenses'!$D$104:$AF$134,25,0)</f>
        <v>26357.5</v>
      </c>
      <c r="D865" s="7">
        <f t="shared" si="237"/>
        <v>1.7120364222707007</v>
      </c>
      <c r="G865" s="12">
        <f>+VLOOKUP(A865,'Undivideable Expenses'!$D$104:$AA$134,24,0)</f>
        <v>4637.76</v>
      </c>
      <c r="H865" s="12">
        <f t="shared" si="238"/>
        <v>79.400140377501657</v>
      </c>
    </row>
    <row r="869" spans="1:8" x14ac:dyDescent="0.25">
      <c r="A869" t="s">
        <v>200</v>
      </c>
    </row>
    <row r="870" spans="1:8" x14ac:dyDescent="0.25">
      <c r="A870" s="8" t="s">
        <v>6</v>
      </c>
      <c r="B870" s="8" t="s">
        <v>199</v>
      </c>
      <c r="C870" s="22" t="s">
        <v>50</v>
      </c>
      <c r="D870" s="22" t="s">
        <v>9</v>
      </c>
    </row>
    <row r="871" spans="1:8" x14ac:dyDescent="0.25">
      <c r="A871" s="6">
        <v>45885</v>
      </c>
      <c r="B871">
        <v>575</v>
      </c>
      <c r="C871">
        <f>+VLOOKUP(A871,'Undivideable Expenses'!$D$104:$AH$201,31,0)</f>
        <v>0</v>
      </c>
      <c r="D871" s="7" t="e">
        <f t="shared" ref="D871:D887" si="239">+B871/C871*100</f>
        <v>#DIV/0!</v>
      </c>
      <c r="G871" s="7">
        <f>+VLOOKUP(A871,'Undivideable Expenses'!D$104:AG$201,30,0)</f>
        <v>0</v>
      </c>
      <c r="H871" s="7" t="e">
        <f t="shared" ref="H871:H887" si="240">+G871/100*D871</f>
        <v>#DIV/0!</v>
      </c>
    </row>
    <row r="872" spans="1:8" x14ac:dyDescent="0.25">
      <c r="A872" s="6">
        <v>45887</v>
      </c>
      <c r="B872">
        <v>2663.75</v>
      </c>
      <c r="C872">
        <f>+VLOOKUP(A872,'Undivideable Expenses'!$D$104:$AH$201,31,0)</f>
        <v>0</v>
      </c>
      <c r="D872" s="7" t="e">
        <f t="shared" si="239"/>
        <v>#DIV/0!</v>
      </c>
      <c r="G872" s="7">
        <f>+VLOOKUP(A872,'Undivideable Expenses'!D$104:AG$201,30,0)</f>
        <v>0</v>
      </c>
      <c r="H872" s="7" t="e">
        <f t="shared" si="240"/>
        <v>#DIV/0!</v>
      </c>
    </row>
    <row r="873" spans="1:8" x14ac:dyDescent="0.25">
      <c r="A873" s="6">
        <v>45888</v>
      </c>
      <c r="B873">
        <v>6818.75</v>
      </c>
      <c r="C873">
        <f>+VLOOKUP(A873,'Undivideable Expenses'!$D$104:$AH$201,31,0)</f>
        <v>0</v>
      </c>
      <c r="D873" s="7" t="e">
        <f t="shared" si="239"/>
        <v>#DIV/0!</v>
      </c>
      <c r="G873" s="7">
        <f>+VLOOKUP(A873,'Undivideable Expenses'!D$104:AG$201,30,0)</f>
        <v>0</v>
      </c>
      <c r="H873" s="7" t="e">
        <f t="shared" si="240"/>
        <v>#DIV/0!</v>
      </c>
    </row>
    <row r="874" spans="1:8" x14ac:dyDescent="0.25">
      <c r="A874" s="6">
        <v>45889</v>
      </c>
      <c r="B874">
        <v>7567.5</v>
      </c>
      <c r="C874">
        <f>+VLOOKUP(A874,'Undivideable Expenses'!$D$104:$AH$201,31,0)</f>
        <v>0</v>
      </c>
      <c r="D874" s="7" t="e">
        <f t="shared" si="239"/>
        <v>#DIV/0!</v>
      </c>
      <c r="G874" s="7">
        <f>+VLOOKUP(A874,'Undivideable Expenses'!D$104:AG$201,30,0)</f>
        <v>0</v>
      </c>
      <c r="H874" s="7" t="e">
        <f t="shared" si="240"/>
        <v>#DIV/0!</v>
      </c>
    </row>
    <row r="875" spans="1:8" x14ac:dyDescent="0.25">
      <c r="A875" s="6">
        <v>45890</v>
      </c>
      <c r="B875">
        <v>6176.25</v>
      </c>
      <c r="C875">
        <f>+VLOOKUP(A875,'Undivideable Expenses'!$D$104:$AH$201,31,0)</f>
        <v>0</v>
      </c>
      <c r="D875" s="7" t="e">
        <f t="shared" si="239"/>
        <v>#DIV/0!</v>
      </c>
      <c r="G875" s="7">
        <f>+VLOOKUP(A875,'Undivideable Expenses'!D$104:AG$201,30,0)</f>
        <v>0</v>
      </c>
      <c r="H875" s="7" t="e">
        <f t="shared" si="240"/>
        <v>#DIV/0!</v>
      </c>
    </row>
    <row r="876" spans="1:8" x14ac:dyDescent="0.25">
      <c r="A876" s="6">
        <v>45891</v>
      </c>
      <c r="B876">
        <v>2108.75</v>
      </c>
      <c r="C876">
        <f>+VLOOKUP(A876,'Undivideable Expenses'!$D$104:$AH$201,31,0)</f>
        <v>0</v>
      </c>
      <c r="D876" s="7" t="e">
        <f t="shared" si="239"/>
        <v>#DIV/0!</v>
      </c>
      <c r="G876" s="7">
        <f>+VLOOKUP(A876,'Undivideable Expenses'!D$104:AG$201,30,0)</f>
        <v>0</v>
      </c>
      <c r="H876" s="7" t="e">
        <f t="shared" si="240"/>
        <v>#DIV/0!</v>
      </c>
    </row>
    <row r="877" spans="1:8" x14ac:dyDescent="0.25">
      <c r="A877" s="6">
        <v>45892</v>
      </c>
      <c r="B877">
        <v>57.5</v>
      </c>
      <c r="C877">
        <f>+VLOOKUP(A877,'Undivideable Expenses'!$D$104:$AH$201,31,0)</f>
        <v>0</v>
      </c>
      <c r="D877" s="7" t="e">
        <f t="shared" si="239"/>
        <v>#DIV/0!</v>
      </c>
      <c r="G877" s="7">
        <f>+VLOOKUP(A877,'Undivideable Expenses'!D$104:AG$201,30,0)</f>
        <v>0</v>
      </c>
      <c r="H877" s="7" t="e">
        <f t="shared" si="240"/>
        <v>#DIV/0!</v>
      </c>
    </row>
    <row r="878" spans="1:8" x14ac:dyDescent="0.25">
      <c r="A878" s="6">
        <v>45910</v>
      </c>
      <c r="B878">
        <v>117.5</v>
      </c>
      <c r="C878">
        <f>+VLOOKUP(A878,'Undivideable Expenses'!$D$104:$AH$201,31,0)</f>
        <v>25830.799999999999</v>
      </c>
      <c r="D878" s="7">
        <f t="shared" si="239"/>
        <v>0.45488331758985401</v>
      </c>
      <c r="G878" s="7">
        <f>+VLOOKUP(A878,'Undivideable Expenses'!D$104:AG$201,30,0)</f>
        <v>4179.7700000000004</v>
      </c>
      <c r="H878" s="7">
        <f t="shared" si="240"/>
        <v>19.013076443625444</v>
      </c>
    </row>
    <row r="879" spans="1:8" x14ac:dyDescent="0.25">
      <c r="A879" s="6">
        <v>45923</v>
      </c>
      <c r="B879">
        <v>1557.5</v>
      </c>
      <c r="C879">
        <f>+VLOOKUP(A879,'Undivideable Expenses'!$D$104:$AH$201,31,0)</f>
        <v>24436.93</v>
      </c>
      <c r="D879" s="7">
        <f t="shared" si="239"/>
        <v>6.3735501963626362</v>
      </c>
      <c r="G879" s="7">
        <f>+VLOOKUP(A879,'Undivideable Expenses'!D$104:AG$201,30,0)</f>
        <v>4508.97</v>
      </c>
      <c r="H879" s="7">
        <f t="shared" si="240"/>
        <v>287.38146628893236</v>
      </c>
    </row>
    <row r="880" spans="1:8" x14ac:dyDescent="0.25">
      <c r="A880" s="6">
        <v>45924</v>
      </c>
      <c r="B880">
        <v>2207.5</v>
      </c>
      <c r="C880">
        <f>+VLOOKUP(A880,'Undivideable Expenses'!$D$104:$AH$201,31,0)</f>
        <v>24463.5</v>
      </c>
      <c r="D880" s="7">
        <f t="shared" si="239"/>
        <v>9.02364747480941</v>
      </c>
      <c r="G880" s="7">
        <f>+VLOOKUP(A880,'Undivideable Expenses'!D$104:AG$201,30,0)</f>
        <v>3936.63</v>
      </c>
      <c r="H880" s="7">
        <f t="shared" si="240"/>
        <v>355.2276135875897</v>
      </c>
    </row>
    <row r="881" spans="1:8" x14ac:dyDescent="0.25">
      <c r="A881" s="6">
        <v>45925</v>
      </c>
      <c r="B881">
        <v>2003.75</v>
      </c>
      <c r="C881">
        <f>+VLOOKUP(A881,'Undivideable Expenses'!$D$104:$AH$201,31,0)</f>
        <v>24938.75</v>
      </c>
      <c r="D881" s="7">
        <f t="shared" si="239"/>
        <v>8.0346849781965801</v>
      </c>
      <c r="G881" s="7">
        <f>+VLOOKUP(A881,'Undivideable Expenses'!D$104:AG$201,30,0)</f>
        <v>3941.13</v>
      </c>
      <c r="H881" s="7">
        <f t="shared" si="240"/>
        <v>316.65738008119894</v>
      </c>
    </row>
    <row r="882" spans="1:8" x14ac:dyDescent="0.25">
      <c r="A882" s="6">
        <v>45926</v>
      </c>
      <c r="B882">
        <v>6596.9360902255639</v>
      </c>
      <c r="C882">
        <f>+VLOOKUP(A882,'Undivideable Expenses'!$D$104:$AH$201,31,0)</f>
        <v>24910.49</v>
      </c>
      <c r="D882" s="7">
        <f t="shared" si="239"/>
        <v>26.482562527776704</v>
      </c>
      <c r="G882" s="7">
        <f>+VLOOKUP(A882,'Undivideable Expenses'!D$104:AG$201,30,0)</f>
        <v>3930.78</v>
      </c>
      <c r="H882" s="7">
        <f t="shared" si="240"/>
        <v>1040.9712713293411</v>
      </c>
    </row>
    <row r="883" spans="1:8" x14ac:dyDescent="0.25">
      <c r="A883" s="6">
        <v>45927</v>
      </c>
      <c r="B883">
        <v>6715</v>
      </c>
      <c r="C883">
        <f>+VLOOKUP(A883,'Undivideable Expenses'!$D$104:$AH$201,31,0)</f>
        <v>20695.939999999999</v>
      </c>
      <c r="D883" s="7">
        <f t="shared" si="239"/>
        <v>32.445977326953987</v>
      </c>
      <c r="G883" s="7">
        <f>+VLOOKUP(A883,'Undivideable Expenses'!D$104:AG$201,30,0)</f>
        <v>3031.71</v>
      </c>
      <c r="H883" s="7">
        <f t="shared" si="240"/>
        <v>983.66793921899671</v>
      </c>
    </row>
    <row r="884" spans="1:8" x14ac:dyDescent="0.25">
      <c r="A884" s="6">
        <v>45929</v>
      </c>
      <c r="B884">
        <v>6946.875</v>
      </c>
      <c r="C884">
        <f>+VLOOKUP(A884,'Undivideable Expenses'!$D$104:$AH$201,31,0)</f>
        <v>23047.47</v>
      </c>
      <c r="D884" s="7">
        <f t="shared" si="239"/>
        <v>30.141594717337739</v>
      </c>
      <c r="G884" s="7">
        <f>+VLOOKUP(A884,'Undivideable Expenses'!D$104:AG$201,30,0)</f>
        <v>3932.92</v>
      </c>
      <c r="H884" s="7">
        <f t="shared" si="240"/>
        <v>1185.4448069571195</v>
      </c>
    </row>
    <row r="885" spans="1:8" x14ac:dyDescent="0.25">
      <c r="A885" s="6">
        <v>45930</v>
      </c>
      <c r="B885">
        <v>3228.75</v>
      </c>
      <c r="C885">
        <f>+VLOOKUP(A885,'Undivideable Expenses'!$D$104:$AH$201,31,0)</f>
        <v>17926.25</v>
      </c>
      <c r="D885" s="7">
        <f t="shared" si="239"/>
        <v>18.011296283383306</v>
      </c>
      <c r="G885" s="7">
        <f>+VLOOKUP(A885,'Undivideable Expenses'!D$104:AG$201,30,0)</f>
        <v>3020.61</v>
      </c>
      <c r="H885" s="7">
        <f t="shared" si="240"/>
        <v>544.05101666550456</v>
      </c>
    </row>
    <row r="886" spans="1:8" x14ac:dyDescent="0.25">
      <c r="A886" s="6">
        <v>45931</v>
      </c>
      <c r="B886">
        <v>2246.25</v>
      </c>
      <c r="C886">
        <f>+VLOOKUP(A886,'Undivideable Expenses'!$D$104:$AH$201,31,0)</f>
        <v>19960</v>
      </c>
      <c r="D886" s="7">
        <f t="shared" si="239"/>
        <v>11.25375751503006</v>
      </c>
      <c r="G886" s="7">
        <f>+VLOOKUP(A886,'Undivideable Expenses'!D$104:AG$201,30,0)</f>
        <v>3837.6094117647058</v>
      </c>
      <c r="H886" s="7">
        <f t="shared" si="240"/>
        <v>431.87525757397145</v>
      </c>
    </row>
    <row r="887" spans="1:8" x14ac:dyDescent="0.25">
      <c r="A887" s="6">
        <v>45932</v>
      </c>
      <c r="B887">
        <v>2100</v>
      </c>
      <c r="C887">
        <f>+VLOOKUP(A887,'Undivideable Expenses'!$D$104:$AH$201,31,0)</f>
        <v>22645.63</v>
      </c>
      <c r="D887" s="7">
        <f t="shared" si="239"/>
        <v>9.2733123344327364</v>
      </c>
      <c r="G887" s="7">
        <f>+VLOOKUP(A887,'Undivideable Expenses'!D$104:AG$201,30,0)</f>
        <v>3203.2896078431372</v>
      </c>
      <c r="H887" s="7">
        <f t="shared" si="240"/>
        <v>297.05105031171968</v>
      </c>
    </row>
    <row r="889" spans="1:8" x14ac:dyDescent="0.25">
      <c r="A889" t="s">
        <v>201</v>
      </c>
    </row>
    <row r="890" spans="1:8" x14ac:dyDescent="0.25">
      <c r="A890" s="8" t="s">
        <v>6</v>
      </c>
      <c r="B890" s="8" t="s">
        <v>202</v>
      </c>
      <c r="C890" s="22" t="s">
        <v>50</v>
      </c>
      <c r="D890" s="22" t="s">
        <v>9</v>
      </c>
    </row>
    <row r="891" spans="1:8" x14ac:dyDescent="0.25">
      <c r="A891" s="6">
        <v>45893</v>
      </c>
      <c r="B891" s="12">
        <v>198.33333333333334</v>
      </c>
      <c r="C891">
        <f>+VLOOKUP(A891,'Undivideable Expenses'!$D$104:$AH$201,31,0)</f>
        <v>0</v>
      </c>
      <c r="D891" s="7" t="e">
        <f>+B891/C891*100</f>
        <v>#DIV/0!</v>
      </c>
      <c r="G891">
        <f>+VLOOKUP(A891,'Undivideable Expenses'!D$104:AG$201,30,0)</f>
        <v>0</v>
      </c>
      <c r="H891" t="e">
        <f>+G891/100*D891</f>
        <v>#DIV/0!</v>
      </c>
    </row>
    <row r="892" spans="1:8" x14ac:dyDescent="0.25">
      <c r="A892" s="6">
        <v>45894</v>
      </c>
      <c r="B892" s="12">
        <v>3670</v>
      </c>
      <c r="C892">
        <f>+VLOOKUP(A892,'Undivideable Expenses'!$D$104:$AH$201,31,0)</f>
        <v>0</v>
      </c>
      <c r="D892" s="7" t="e">
        <f t="shared" ref="D892:D905" si="241">+B892/C892*100</f>
        <v>#DIV/0!</v>
      </c>
      <c r="G892">
        <f>+VLOOKUP(A892,'Undivideable Expenses'!D$104:AG$201,30,0)</f>
        <v>0</v>
      </c>
      <c r="H892" t="e">
        <f t="shared" ref="H892:H905" si="242">+G892/100*D892</f>
        <v>#DIV/0!</v>
      </c>
    </row>
    <row r="893" spans="1:8" x14ac:dyDescent="0.25">
      <c r="A893" s="6">
        <v>45895</v>
      </c>
      <c r="B893" s="12">
        <v>4628.75</v>
      </c>
      <c r="C893">
        <f>+VLOOKUP(A893,'Undivideable Expenses'!$D$104:$AH$201,31,0)</f>
        <v>0</v>
      </c>
      <c r="D893" s="7" t="e">
        <f t="shared" si="241"/>
        <v>#DIV/0!</v>
      </c>
      <c r="G893">
        <f>+VLOOKUP(A893,'Undivideable Expenses'!D$104:AG$201,30,0)</f>
        <v>0</v>
      </c>
      <c r="H893" t="e">
        <f t="shared" si="242"/>
        <v>#DIV/0!</v>
      </c>
    </row>
    <row r="894" spans="1:8" x14ac:dyDescent="0.25">
      <c r="A894" s="6">
        <v>45896</v>
      </c>
      <c r="B894" s="12">
        <v>4951.25</v>
      </c>
      <c r="C894">
        <f>+VLOOKUP(A894,'Undivideable Expenses'!$D$104:$AH$201,31,0)</f>
        <v>0</v>
      </c>
      <c r="D894" s="7" t="e">
        <f t="shared" si="241"/>
        <v>#DIV/0!</v>
      </c>
      <c r="G894">
        <f>+VLOOKUP(A894,'Undivideable Expenses'!D$104:AG$201,30,0)</f>
        <v>0</v>
      </c>
      <c r="H894" t="e">
        <f t="shared" si="242"/>
        <v>#DIV/0!</v>
      </c>
    </row>
    <row r="895" spans="1:8" x14ac:dyDescent="0.25">
      <c r="A895" s="6">
        <v>45897</v>
      </c>
      <c r="B895" s="12">
        <v>5442.5</v>
      </c>
      <c r="C895">
        <f>+VLOOKUP(A895,'Undivideable Expenses'!$D$104:$AH$201,31,0)</f>
        <v>0</v>
      </c>
      <c r="D895" s="7" t="e">
        <f t="shared" si="241"/>
        <v>#DIV/0!</v>
      </c>
      <c r="G895">
        <f>+VLOOKUP(A895,'Undivideable Expenses'!D$104:AG$201,30,0)</f>
        <v>0</v>
      </c>
      <c r="H895" t="e">
        <f t="shared" si="242"/>
        <v>#DIV/0!</v>
      </c>
    </row>
    <row r="896" spans="1:8" x14ac:dyDescent="0.25">
      <c r="A896" s="6">
        <v>45898</v>
      </c>
      <c r="B896" s="12">
        <v>7050</v>
      </c>
      <c r="C896">
        <f>+VLOOKUP(A896,'Undivideable Expenses'!$D$104:$AH$201,31,0)</f>
        <v>0</v>
      </c>
      <c r="D896" s="7" t="e">
        <f t="shared" si="241"/>
        <v>#DIV/0!</v>
      </c>
      <c r="G896">
        <f>+VLOOKUP(A896,'Undivideable Expenses'!D$104:AG$201,30,0)</f>
        <v>0</v>
      </c>
      <c r="H896" t="e">
        <f t="shared" si="242"/>
        <v>#DIV/0!</v>
      </c>
    </row>
    <row r="897" spans="1:8" x14ac:dyDescent="0.25">
      <c r="A897" s="6">
        <v>45899</v>
      </c>
      <c r="B897" s="12">
        <v>2992.5</v>
      </c>
      <c r="C897">
        <f>+VLOOKUP(A897,'Undivideable Expenses'!$D$104:$AH$201,31,0)</f>
        <v>0</v>
      </c>
      <c r="D897" s="7" t="e">
        <f t="shared" si="241"/>
        <v>#DIV/0!</v>
      </c>
      <c r="G897">
        <f>+VLOOKUP(A897,'Undivideable Expenses'!D$104:AG$201,30,0)</f>
        <v>0</v>
      </c>
      <c r="H897" t="e">
        <f t="shared" si="242"/>
        <v>#DIV/0!</v>
      </c>
    </row>
    <row r="898" spans="1:8" x14ac:dyDescent="0.25">
      <c r="A898" s="6">
        <v>45901</v>
      </c>
      <c r="B898" s="12">
        <v>2547.5</v>
      </c>
      <c r="C898">
        <f>+VLOOKUP(A898,'Undivideable Expenses'!$D$104:$AH$201,31,0)</f>
        <v>20357.310000000001</v>
      </c>
      <c r="D898" s="7">
        <f t="shared" si="241"/>
        <v>12.51393234174849</v>
      </c>
      <c r="G898">
        <f>+VLOOKUP(A898,'Undivideable Expenses'!D$104:AG$201,30,0)</f>
        <v>4437.38</v>
      </c>
      <c r="H898">
        <f t="shared" si="242"/>
        <v>555.29073094627915</v>
      </c>
    </row>
    <row r="899" spans="1:8" x14ac:dyDescent="0.25">
      <c r="A899" s="6">
        <v>45902</v>
      </c>
      <c r="B899" s="12">
        <v>4846.25</v>
      </c>
      <c r="C899">
        <f>+VLOOKUP(A899,'Undivideable Expenses'!$D$104:$AH$201,31,0)</f>
        <v>23629.9</v>
      </c>
      <c r="D899" s="7">
        <f t="shared" si="241"/>
        <v>20.508973800143039</v>
      </c>
      <c r="G899">
        <f>+VLOOKUP(A899,'Undivideable Expenses'!D$104:AG$201,30,0)</f>
        <v>4535.63</v>
      </c>
      <c r="H899">
        <f t="shared" si="242"/>
        <v>930.21116837142779</v>
      </c>
    </row>
    <row r="900" spans="1:8" x14ac:dyDescent="0.25">
      <c r="A900" s="6">
        <v>45903</v>
      </c>
      <c r="B900" s="12">
        <v>5070</v>
      </c>
      <c r="C900">
        <f>+VLOOKUP(A900,'Undivideable Expenses'!$D$104:$AH$201,31,0)</f>
        <v>23717.5</v>
      </c>
      <c r="D900" s="7">
        <f t="shared" si="241"/>
        <v>21.376620638768841</v>
      </c>
      <c r="G900">
        <f>+VLOOKUP(A900,'Undivideable Expenses'!D$104:AG$201,30,0)</f>
        <v>3824.46</v>
      </c>
      <c r="H900">
        <f t="shared" si="242"/>
        <v>817.54030568145879</v>
      </c>
    </row>
    <row r="901" spans="1:8" x14ac:dyDescent="0.25">
      <c r="A901" s="6">
        <v>45904</v>
      </c>
      <c r="B901" s="12">
        <v>2495</v>
      </c>
      <c r="C901">
        <f>+VLOOKUP(A901,'Undivideable Expenses'!$D$104:$AH$201,31,0)</f>
        <v>18022</v>
      </c>
      <c r="D901" s="7">
        <f t="shared" si="241"/>
        <v>13.844190433914106</v>
      </c>
      <c r="G901">
        <f>+VLOOKUP(A901,'Undivideable Expenses'!D$104:AG$201,30,0)</f>
        <v>3321.4500000000003</v>
      </c>
      <c r="H901">
        <f t="shared" si="242"/>
        <v>459.82786316724008</v>
      </c>
    </row>
    <row r="902" spans="1:8" x14ac:dyDescent="0.25">
      <c r="A902" s="6">
        <v>45905</v>
      </c>
      <c r="B902" s="12">
        <v>3135</v>
      </c>
      <c r="C902">
        <f>+VLOOKUP(A902,'Undivideable Expenses'!$D$104:$AH$201,31,0)</f>
        <v>22442.61</v>
      </c>
      <c r="D902" s="7">
        <f t="shared" si="241"/>
        <v>13.968963502908082</v>
      </c>
      <c r="G902">
        <f>+VLOOKUP(A902,'Undivideable Expenses'!D$104:AG$201,30,0)</f>
        <v>4314.3</v>
      </c>
      <c r="H902">
        <f t="shared" si="242"/>
        <v>602.66299240596334</v>
      </c>
    </row>
    <row r="903" spans="1:8" x14ac:dyDescent="0.25">
      <c r="A903" s="6">
        <v>45906</v>
      </c>
      <c r="B903" s="12">
        <v>3938.75</v>
      </c>
      <c r="C903">
        <f>+VLOOKUP(A903,'Undivideable Expenses'!$D$104:$AH$201,31,0)</f>
        <v>25357.03</v>
      </c>
      <c r="D903" s="7">
        <f t="shared" si="241"/>
        <v>15.533167725084523</v>
      </c>
      <c r="G903">
        <f>+VLOOKUP(A903,'Undivideable Expenses'!D$104:AG$201,30,0)</f>
        <v>3841.07</v>
      </c>
      <c r="H903">
        <f t="shared" si="242"/>
        <v>596.63984553790408</v>
      </c>
    </row>
    <row r="904" spans="1:8" x14ac:dyDescent="0.25">
      <c r="A904" s="6">
        <v>45908</v>
      </c>
      <c r="B904" s="12">
        <v>5597.5</v>
      </c>
      <c r="C904">
        <f>+VLOOKUP(A904,'Undivideable Expenses'!$D$104:$AH$201,31,0)</f>
        <v>24431.25</v>
      </c>
      <c r="D904" s="7">
        <f t="shared" si="241"/>
        <v>22.911230493732411</v>
      </c>
      <c r="G904">
        <f>+VLOOKUP(A904,'Undivideable Expenses'!D$104:AG$201,30,0)</f>
        <v>4129.9399999999996</v>
      </c>
      <c r="H904">
        <f t="shared" si="242"/>
        <v>946.22007265285231</v>
      </c>
    </row>
    <row r="905" spans="1:8" x14ac:dyDescent="0.25">
      <c r="A905" s="6">
        <v>45909</v>
      </c>
      <c r="B905" s="12">
        <v>1355</v>
      </c>
      <c r="C905">
        <f>+VLOOKUP(A905,'Undivideable Expenses'!$D$104:$AH$201,31,0)</f>
        <v>25931.25</v>
      </c>
      <c r="D905" s="7">
        <f t="shared" si="241"/>
        <v>5.2253555073511686</v>
      </c>
      <c r="G905">
        <f>+VLOOKUP(A905,'Undivideable Expenses'!D$104:AG$201,30,0)</f>
        <v>4342.7</v>
      </c>
      <c r="H905">
        <f t="shared" si="242"/>
        <v>226.92151361773921</v>
      </c>
    </row>
    <row r="906" spans="1:8" x14ac:dyDescent="0.25">
      <c r="H906" t="e">
        <f>SUM(H891:H905)</f>
        <v>#DIV/0!</v>
      </c>
    </row>
    <row r="909" spans="1:8" x14ac:dyDescent="0.25">
      <c r="A909" t="s">
        <v>203</v>
      </c>
    </row>
    <row r="910" spans="1:8" x14ac:dyDescent="0.25">
      <c r="A910" s="8" t="s">
        <v>6</v>
      </c>
      <c r="B910" s="8" t="s">
        <v>204</v>
      </c>
      <c r="C910" s="22" t="s">
        <v>50</v>
      </c>
      <c r="D910" s="22" t="s">
        <v>9</v>
      </c>
    </row>
    <row r="911" spans="1:8" x14ac:dyDescent="0.25">
      <c r="A911" s="6">
        <v>45897</v>
      </c>
      <c r="B911" s="12">
        <v>1068.75</v>
      </c>
      <c r="C911">
        <f>+VLOOKUP(A911,'Undivideable Expenses'!$D$104:$AH$201,31,0)</f>
        <v>0</v>
      </c>
      <c r="D911" s="7" t="e">
        <f>+B911/C911*100</f>
        <v>#DIV/0!</v>
      </c>
      <c r="G911" s="7">
        <f>+VLOOKUP(A911,'Undivideable Expenses'!D$104:AG$201,30,0)</f>
        <v>0</v>
      </c>
      <c r="H911" s="7" t="e">
        <f t="shared" ref="H911" si="243">+G911/100*D911</f>
        <v>#DIV/0!</v>
      </c>
    </row>
    <row r="912" spans="1:8" x14ac:dyDescent="0.25">
      <c r="A912" s="6">
        <v>45898</v>
      </c>
      <c r="B912" s="12">
        <v>2690</v>
      </c>
      <c r="C912">
        <f>+VLOOKUP(A912,'Undivideable Expenses'!$D$104:$AH$201,31,0)</f>
        <v>0</v>
      </c>
      <c r="D912" s="7" t="e">
        <f t="shared" ref="D912:D920" si="244">+B912/C912*100</f>
        <v>#DIV/0!</v>
      </c>
      <c r="G912" s="7">
        <f>+VLOOKUP(A912,'Undivideable Expenses'!D$104:AG$201,30,0)</f>
        <v>0</v>
      </c>
      <c r="H912" s="7" t="e">
        <f t="shared" ref="H912:H920" si="245">+G912/100*D912</f>
        <v>#DIV/0!</v>
      </c>
    </row>
    <row r="913" spans="1:8" x14ac:dyDescent="0.25">
      <c r="A913" s="6">
        <v>45899</v>
      </c>
      <c r="B913" s="12">
        <v>2222.5</v>
      </c>
      <c r="C913">
        <f>+VLOOKUP(A913,'Undivideable Expenses'!$D$104:$AH$201,31,0)</f>
        <v>0</v>
      </c>
      <c r="D913" s="7" t="e">
        <f t="shared" si="244"/>
        <v>#DIV/0!</v>
      </c>
      <c r="G913" s="7">
        <f>+VLOOKUP(A913,'Undivideable Expenses'!D$104:AG$201,30,0)</f>
        <v>0</v>
      </c>
      <c r="H913" s="7" t="e">
        <f t="shared" si="245"/>
        <v>#DIV/0!</v>
      </c>
    </row>
    <row r="914" spans="1:8" x14ac:dyDescent="0.25">
      <c r="A914" s="6">
        <v>45901</v>
      </c>
      <c r="B914" s="12">
        <v>2575</v>
      </c>
      <c r="C914">
        <f>+VLOOKUP(A914,'Undivideable Expenses'!$D$104:$AH$201,31,0)</f>
        <v>20357.310000000001</v>
      </c>
      <c r="D914" s="7">
        <f t="shared" si="244"/>
        <v>12.64901895191457</v>
      </c>
      <c r="G914" s="7">
        <f>+VLOOKUP(A914,'Undivideable Expenses'!D$104:AG$201,30,0)</f>
        <v>4437.38</v>
      </c>
      <c r="H914" s="7">
        <f t="shared" si="245"/>
        <v>561.28503716846683</v>
      </c>
    </row>
    <row r="915" spans="1:8" x14ac:dyDescent="0.25">
      <c r="A915" s="6">
        <v>45902</v>
      </c>
      <c r="B915" s="12">
        <v>2046.25</v>
      </c>
      <c r="C915">
        <f>+VLOOKUP(A915,'Undivideable Expenses'!$D$104:$AH$201,31,0)</f>
        <v>23629.9</v>
      </c>
      <c r="D915" s="7">
        <f t="shared" si="244"/>
        <v>8.6595796004215</v>
      </c>
      <c r="G915" s="7">
        <f>+VLOOKUP(A915,'Undivideable Expenses'!D$104:AG$201,30,0)</f>
        <v>4535.63</v>
      </c>
      <c r="H915" s="7">
        <f t="shared" si="245"/>
        <v>392.7664902305977</v>
      </c>
    </row>
    <row r="916" spans="1:8" x14ac:dyDescent="0.25">
      <c r="A916" s="6">
        <v>45903</v>
      </c>
      <c r="B916" s="12">
        <v>766.25</v>
      </c>
      <c r="C916">
        <f>+VLOOKUP(A916,'Undivideable Expenses'!$D$104:$AH$201,31,0)</f>
        <v>23717.5</v>
      </c>
      <c r="D916" s="7">
        <f t="shared" si="244"/>
        <v>3.2307367977232002</v>
      </c>
      <c r="G916" s="7">
        <f>+VLOOKUP(A916,'Undivideable Expenses'!D$104:AG$201,30,0)</f>
        <v>3824.46</v>
      </c>
      <c r="H916" s="7">
        <f t="shared" si="245"/>
        <v>123.5582365342047</v>
      </c>
    </row>
    <row r="917" spans="1:8" x14ac:dyDescent="0.25">
      <c r="A917" s="6">
        <v>45905</v>
      </c>
      <c r="B917" s="12">
        <v>115</v>
      </c>
      <c r="C917">
        <f>+VLOOKUP(A917,'Undivideable Expenses'!$D$104:$AH$201,31,0)</f>
        <v>22442.61</v>
      </c>
      <c r="D917" s="7">
        <f t="shared" si="244"/>
        <v>0.51241811892645284</v>
      </c>
      <c r="G917" s="7">
        <f>+VLOOKUP(A917,'Undivideable Expenses'!D$104:AG$201,30,0)</f>
        <v>4314.3</v>
      </c>
      <c r="H917" s="7">
        <f t="shared" si="245"/>
        <v>22.107254904843956</v>
      </c>
    </row>
    <row r="918" spans="1:8" x14ac:dyDescent="0.25">
      <c r="A918" s="6">
        <v>45908</v>
      </c>
      <c r="B918" s="12">
        <v>406.25</v>
      </c>
      <c r="C918">
        <f>+VLOOKUP(A918,'Undivideable Expenses'!$D$104:$AH$201,31,0)</f>
        <v>24431.25</v>
      </c>
      <c r="D918" s="7">
        <f t="shared" si="244"/>
        <v>1.6628293681248401</v>
      </c>
      <c r="G918" s="7">
        <f>+VLOOKUP(A918,'Undivideable Expenses'!D$104:AG$201,30,0)</f>
        <v>4129.9399999999996</v>
      </c>
      <c r="H918" s="7">
        <f t="shared" si="245"/>
        <v>68.673855205935013</v>
      </c>
    </row>
    <row r="919" spans="1:8" x14ac:dyDescent="0.25">
      <c r="A919" s="6">
        <v>45909</v>
      </c>
      <c r="B919" s="12">
        <v>4537.5</v>
      </c>
      <c r="C919">
        <f>+VLOOKUP(A919,'Undivideable Expenses'!$D$104:$AH$201,31,0)</f>
        <v>25931.25</v>
      </c>
      <c r="D919" s="7">
        <f t="shared" si="244"/>
        <v>17.49819233550253</v>
      </c>
      <c r="G919" s="7">
        <f>+VLOOKUP(A919,'Undivideable Expenses'!D$104:AG$201,30,0)</f>
        <v>4342.7</v>
      </c>
      <c r="H919" s="7">
        <f t="shared" si="245"/>
        <v>759.89399855386841</v>
      </c>
    </row>
    <row r="920" spans="1:8" x14ac:dyDescent="0.25">
      <c r="A920" s="6">
        <v>45910</v>
      </c>
      <c r="B920" s="12">
        <v>5475</v>
      </c>
      <c r="C920">
        <f>+VLOOKUP(A920,'Undivideable Expenses'!$D$104:$AH$201,31,0)</f>
        <v>25830.799999999999</v>
      </c>
      <c r="D920" s="7">
        <f t="shared" si="244"/>
        <v>21.195626925995324</v>
      </c>
      <c r="G920" s="7">
        <f>+VLOOKUP(A920,'Undivideable Expenses'!D$104:AG$201,30,0)</f>
        <v>4179.7700000000004</v>
      </c>
      <c r="H920" s="7">
        <f t="shared" si="245"/>
        <v>885.92845556467489</v>
      </c>
    </row>
    <row r="921" spans="1:8" x14ac:dyDescent="0.25">
      <c r="G921" s="7"/>
      <c r="H921" s="7" t="e">
        <f>SUM(H911:H920)</f>
        <v>#DIV/0!</v>
      </c>
    </row>
    <row r="922" spans="1:8" x14ac:dyDescent="0.25">
      <c r="A922" t="s">
        <v>209</v>
      </c>
    </row>
    <row r="923" spans="1:8" x14ac:dyDescent="0.25">
      <c r="A923" s="8" t="s">
        <v>6</v>
      </c>
      <c r="B923" s="8" t="s">
        <v>205</v>
      </c>
      <c r="C923" s="22" t="s">
        <v>50</v>
      </c>
      <c r="D923" s="22" t="s">
        <v>9</v>
      </c>
    </row>
    <row r="924" spans="1:8" x14ac:dyDescent="0.25">
      <c r="A924" s="6">
        <v>45892</v>
      </c>
      <c r="B924" s="7">
        <v>1172.5</v>
      </c>
      <c r="C924">
        <f>+VLOOKUP(A924,'Undivideable Expenses'!$D$104:$AH$201,31,0)</f>
        <v>0</v>
      </c>
      <c r="D924" s="7" t="e">
        <f>+B924/C924*100</f>
        <v>#DIV/0!</v>
      </c>
      <c r="G924" s="7">
        <f>+VLOOKUP(A924,'Undivideable Expenses'!D$104:AG$201,30,0)</f>
        <v>0</v>
      </c>
      <c r="H924" s="7" t="e">
        <f t="shared" ref="H924" si="246">+G924/100*D924</f>
        <v>#DIV/0!</v>
      </c>
    </row>
    <row r="925" spans="1:8" x14ac:dyDescent="0.25">
      <c r="A925" s="6">
        <v>45893</v>
      </c>
      <c r="B925" s="7">
        <v>2541.6666666666665</v>
      </c>
      <c r="C925">
        <f>+VLOOKUP(A925,'Undivideable Expenses'!$D$104:$AH$201,31,0)</f>
        <v>0</v>
      </c>
      <c r="D925" s="7" t="e">
        <f t="shared" ref="D925:D937" si="247">+B925/C925*100</f>
        <v>#DIV/0!</v>
      </c>
      <c r="G925" s="7">
        <f>+VLOOKUP(A925,'Undivideable Expenses'!D$104:AG$201,30,0)</f>
        <v>0</v>
      </c>
      <c r="H925" s="7" t="e">
        <f t="shared" ref="H925:H937" si="248">+G925/100*D925</f>
        <v>#DIV/0!</v>
      </c>
    </row>
    <row r="926" spans="1:8" x14ac:dyDescent="0.25">
      <c r="A926" s="6">
        <v>45894</v>
      </c>
      <c r="B926" s="7">
        <v>4191.25</v>
      </c>
      <c r="C926">
        <f>+VLOOKUP(A926,'Undivideable Expenses'!$D$104:$AH$201,31,0)</f>
        <v>0</v>
      </c>
      <c r="D926" s="7" t="e">
        <f t="shared" si="247"/>
        <v>#DIV/0!</v>
      </c>
      <c r="G926" s="7">
        <f>+VLOOKUP(A926,'Undivideable Expenses'!D$104:AG$201,30,0)</f>
        <v>0</v>
      </c>
      <c r="H926" s="7" t="e">
        <f t="shared" si="248"/>
        <v>#DIV/0!</v>
      </c>
    </row>
    <row r="927" spans="1:8" x14ac:dyDescent="0.25">
      <c r="A927" s="6">
        <v>45895</v>
      </c>
      <c r="B927" s="7">
        <v>4865</v>
      </c>
      <c r="C927">
        <f>+VLOOKUP(A927,'Undivideable Expenses'!$D$104:$AH$201,31,0)</f>
        <v>0</v>
      </c>
      <c r="D927" s="7" t="e">
        <f t="shared" si="247"/>
        <v>#DIV/0!</v>
      </c>
      <c r="G927" s="7">
        <f>+VLOOKUP(A927,'Undivideable Expenses'!D$104:AG$201,30,0)</f>
        <v>0</v>
      </c>
      <c r="H927" s="7" t="e">
        <f t="shared" si="248"/>
        <v>#DIV/0!</v>
      </c>
    </row>
    <row r="928" spans="1:8" x14ac:dyDescent="0.25">
      <c r="A928" s="6">
        <v>45896</v>
      </c>
      <c r="B928" s="7">
        <v>9036.25</v>
      </c>
      <c r="C928">
        <f>+VLOOKUP(A928,'Undivideable Expenses'!$D$104:$AH$201,31,0)</f>
        <v>0</v>
      </c>
      <c r="D928" s="7" t="e">
        <f t="shared" si="247"/>
        <v>#DIV/0!</v>
      </c>
      <c r="G928" s="7">
        <f>+VLOOKUP(A928,'Undivideable Expenses'!D$104:AG$201,30,0)</f>
        <v>0</v>
      </c>
      <c r="H928" s="7" t="e">
        <f t="shared" si="248"/>
        <v>#DIV/0!</v>
      </c>
    </row>
    <row r="929" spans="1:8" x14ac:dyDescent="0.25">
      <c r="A929" s="6">
        <v>45897</v>
      </c>
      <c r="B929" s="7">
        <v>9351.25</v>
      </c>
      <c r="C929">
        <f>+VLOOKUP(A929,'Undivideable Expenses'!$D$104:$AH$201,31,0)</f>
        <v>0</v>
      </c>
      <c r="D929" s="7" t="e">
        <f t="shared" si="247"/>
        <v>#DIV/0!</v>
      </c>
      <c r="G929" s="7">
        <f>+VLOOKUP(A929,'Undivideable Expenses'!D$104:AG$201,30,0)</f>
        <v>0</v>
      </c>
      <c r="H929" s="7" t="e">
        <f t="shared" si="248"/>
        <v>#DIV/0!</v>
      </c>
    </row>
    <row r="930" spans="1:8" x14ac:dyDescent="0.25">
      <c r="A930" s="6">
        <v>45898</v>
      </c>
      <c r="B930" s="7">
        <v>7530</v>
      </c>
      <c r="C930">
        <f>+VLOOKUP(A930,'Undivideable Expenses'!$D$104:$AH$201,31,0)</f>
        <v>0</v>
      </c>
      <c r="D930" s="7" t="e">
        <f t="shared" si="247"/>
        <v>#DIV/0!</v>
      </c>
      <c r="G930" s="7">
        <f>+VLOOKUP(A930,'Undivideable Expenses'!D$104:AG$201,30,0)</f>
        <v>0</v>
      </c>
      <c r="H930" s="7" t="e">
        <f t="shared" si="248"/>
        <v>#DIV/0!</v>
      </c>
    </row>
    <row r="931" spans="1:8" x14ac:dyDescent="0.25">
      <c r="A931" s="6">
        <v>45899</v>
      </c>
      <c r="B931" s="7">
        <v>5277.5</v>
      </c>
      <c r="C931">
        <f>+VLOOKUP(A931,'Undivideable Expenses'!$D$104:$AH$201,31,0)</f>
        <v>0</v>
      </c>
      <c r="D931" s="7" t="e">
        <f t="shared" si="247"/>
        <v>#DIV/0!</v>
      </c>
      <c r="G931" s="7">
        <f>+VLOOKUP(A931,'Undivideable Expenses'!D$104:AG$201,30,0)</f>
        <v>0</v>
      </c>
      <c r="H931" s="7" t="e">
        <f t="shared" si="248"/>
        <v>#DIV/0!</v>
      </c>
    </row>
    <row r="932" spans="1:8" x14ac:dyDescent="0.25">
      <c r="A932" s="6">
        <v>45901</v>
      </c>
      <c r="B932" s="7">
        <v>5605</v>
      </c>
      <c r="C932">
        <f>+VLOOKUP(A932,'Undivideable Expenses'!$D$104:$AH$201,31,0)</f>
        <v>20357.310000000001</v>
      </c>
      <c r="D932" s="7">
        <f t="shared" si="247"/>
        <v>27.533107272031522</v>
      </c>
      <c r="G932" s="7">
        <f>+VLOOKUP(A932,'Undivideable Expenses'!D$104:AG$201,30,0)</f>
        <v>4437.38</v>
      </c>
      <c r="H932" s="7">
        <f t="shared" si="248"/>
        <v>1221.7485954676724</v>
      </c>
    </row>
    <row r="933" spans="1:8" x14ac:dyDescent="0.25">
      <c r="A933" s="6">
        <v>45902</v>
      </c>
      <c r="B933" s="7">
        <v>3282.5</v>
      </c>
      <c r="C933">
        <f>+VLOOKUP(A933,'Undivideable Expenses'!$D$104:$AH$201,31,0)</f>
        <v>23629.9</v>
      </c>
      <c r="D933" s="7">
        <f t="shared" si="247"/>
        <v>13.891298735923554</v>
      </c>
      <c r="G933" s="7">
        <f>+VLOOKUP(A933,'Undivideable Expenses'!D$104:AG$201,30,0)</f>
        <v>4535.63</v>
      </c>
      <c r="H933" s="7">
        <f t="shared" si="248"/>
        <v>630.05791285616954</v>
      </c>
    </row>
    <row r="934" spans="1:8" x14ac:dyDescent="0.25">
      <c r="A934" s="6">
        <v>45903</v>
      </c>
      <c r="B934" s="7">
        <v>2657.5</v>
      </c>
      <c r="C934">
        <f>+VLOOKUP(A934,'Undivideable Expenses'!$D$104:$AH$201,31,0)</f>
        <v>23717.5</v>
      </c>
      <c r="D934" s="7">
        <f t="shared" si="247"/>
        <v>11.204806577421735</v>
      </c>
      <c r="G934" s="7">
        <f>+VLOOKUP(A934,'Undivideable Expenses'!D$104:AG$201,30,0)</f>
        <v>3824.46</v>
      </c>
      <c r="H934" s="7">
        <f t="shared" si="248"/>
        <v>428.52334563086328</v>
      </c>
    </row>
    <row r="935" spans="1:8" x14ac:dyDescent="0.25">
      <c r="A935" s="6">
        <v>45904</v>
      </c>
      <c r="B935" s="7">
        <v>1821.25</v>
      </c>
      <c r="C935">
        <f>+VLOOKUP(A935,'Undivideable Expenses'!$D$104:$AH$201,31,0)</f>
        <v>18022</v>
      </c>
      <c r="D935" s="7">
        <f t="shared" si="247"/>
        <v>10.105704139385196</v>
      </c>
      <c r="G935" s="7">
        <f>+VLOOKUP(A935,'Undivideable Expenses'!D$104:AG$201,30,0)</f>
        <v>3321.4500000000003</v>
      </c>
      <c r="H935" s="7">
        <f t="shared" si="248"/>
        <v>335.65591013760962</v>
      </c>
    </row>
    <row r="936" spans="1:8" x14ac:dyDescent="0.25">
      <c r="A936" s="6">
        <v>45905</v>
      </c>
      <c r="B936" s="7">
        <v>922.5</v>
      </c>
      <c r="C936">
        <f>+VLOOKUP(A936,'Undivideable Expenses'!$D$104:$AH$201,31,0)</f>
        <v>22442.61</v>
      </c>
      <c r="D936" s="7">
        <f t="shared" si="247"/>
        <v>4.1104844757361105</v>
      </c>
      <c r="G936" s="7">
        <f>+VLOOKUP(A936,'Undivideable Expenses'!D$104:AG$201,30,0)</f>
        <v>4314.3</v>
      </c>
      <c r="H936" s="7">
        <f t="shared" si="248"/>
        <v>177.33863173668303</v>
      </c>
    </row>
    <row r="937" spans="1:8" x14ac:dyDescent="0.25">
      <c r="A937" s="6">
        <v>45906</v>
      </c>
      <c r="B937" s="7">
        <v>491.25</v>
      </c>
      <c r="C937">
        <f>+VLOOKUP(A937,'Undivideable Expenses'!$D$104:$AH$201,31,0)</f>
        <v>25357.03</v>
      </c>
      <c r="D937" s="7">
        <f t="shared" si="247"/>
        <v>1.93733256615621</v>
      </c>
      <c r="G937" s="7">
        <f>+VLOOKUP(A937,'Undivideable Expenses'!D$104:AG$201,30,0)</f>
        <v>3841.07</v>
      </c>
      <c r="H937" s="7">
        <f t="shared" si="248"/>
        <v>74.414299998856336</v>
      </c>
    </row>
    <row r="938" spans="1:8" x14ac:dyDescent="0.25">
      <c r="H938" s="7" t="e">
        <f>SUM(H924:H937)</f>
        <v>#DIV/0!</v>
      </c>
    </row>
    <row r="939" spans="1:8" x14ac:dyDescent="0.25">
      <c r="A939" t="s">
        <v>210</v>
      </c>
    </row>
    <row r="940" spans="1:8" x14ac:dyDescent="0.25">
      <c r="A940" s="8" t="s">
        <v>6</v>
      </c>
      <c r="B940" s="8" t="s">
        <v>206</v>
      </c>
      <c r="C940" s="22" t="s">
        <v>50</v>
      </c>
      <c r="D940" s="22" t="s">
        <v>9</v>
      </c>
    </row>
    <row r="941" spans="1:8" x14ac:dyDescent="0.25">
      <c r="A941" s="6">
        <v>45916</v>
      </c>
      <c r="B941" s="7">
        <v>632.5</v>
      </c>
      <c r="C941">
        <f>+VLOOKUP(A941,'Undivideable Expenses'!$D$104:$AH$201,31,0)</f>
        <v>26795</v>
      </c>
      <c r="D941" s="7">
        <f>+B941/C941*100</f>
        <v>2.3605150214592276</v>
      </c>
      <c r="G941" s="7">
        <f>+VLOOKUP(A941,'Undivideable Expenses'!D$104:AG$201,30,0)</f>
        <v>4756.51</v>
      </c>
      <c r="H941" s="7">
        <f t="shared" ref="H941" si="249">+G941/100*D941</f>
        <v>112.27813304721032</v>
      </c>
    </row>
    <row r="942" spans="1:8" x14ac:dyDescent="0.25">
      <c r="A942" s="6">
        <v>45918</v>
      </c>
      <c r="B942" s="7">
        <v>358.75</v>
      </c>
      <c r="C942">
        <f>+VLOOKUP(A942,'Undivideable Expenses'!$D$104:$AH$201,31,0)</f>
        <v>22551.25</v>
      </c>
      <c r="D942" s="7">
        <f t="shared" ref="D942:D960" si="250">+B942/C942*100</f>
        <v>1.5908209079319329</v>
      </c>
      <c r="G942" s="7">
        <f>+VLOOKUP(A942,'Undivideable Expenses'!D$104:AG$201,30,0)</f>
        <v>4633.42</v>
      </c>
      <c r="H942" s="7">
        <f t="shared" ref="H942:H960" si="251">+G942/100*D942</f>
        <v>73.709414112299768</v>
      </c>
    </row>
    <row r="943" spans="1:8" x14ac:dyDescent="0.25">
      <c r="A943" s="6">
        <v>45919</v>
      </c>
      <c r="B943" s="7">
        <v>937.5</v>
      </c>
      <c r="C943">
        <f>+VLOOKUP(A943,'Undivideable Expenses'!$D$104:$AH$201,31,0)</f>
        <v>23254.17</v>
      </c>
      <c r="D943" s="7">
        <f t="shared" si="250"/>
        <v>4.0315349892083869</v>
      </c>
      <c r="G943" s="7">
        <f>+VLOOKUP(A943,'Undivideable Expenses'!D$104:AG$201,30,0)</f>
        <v>3861.57</v>
      </c>
      <c r="H943" s="7">
        <f t="shared" si="251"/>
        <v>155.68054568277432</v>
      </c>
    </row>
    <row r="944" spans="1:8" x14ac:dyDescent="0.25">
      <c r="A944" s="6">
        <v>45920</v>
      </c>
      <c r="B944" s="7">
        <v>260</v>
      </c>
      <c r="C944">
        <f>+VLOOKUP(A944,'Undivideable Expenses'!$D$104:$AH$201,31,0)</f>
        <v>21410.94</v>
      </c>
      <c r="D944" s="7">
        <f t="shared" si="250"/>
        <v>1.2143324861028988</v>
      </c>
      <c r="G944" s="7">
        <f>+VLOOKUP(A944,'Undivideable Expenses'!D$104:AG$201,30,0)</f>
        <v>4413.95</v>
      </c>
      <c r="H944" s="7">
        <f t="shared" si="251"/>
        <v>53.600028770338902</v>
      </c>
    </row>
    <row r="945" spans="1:8" x14ac:dyDescent="0.25">
      <c r="A945" s="6">
        <v>45921</v>
      </c>
      <c r="B945" s="7">
        <v>360</v>
      </c>
      <c r="C945">
        <f>+VLOOKUP(A945,'Undivideable Expenses'!$D$104:$AH$201,31,0)</f>
        <v>17500</v>
      </c>
      <c r="D945" s="7">
        <f t="shared" si="250"/>
        <v>2.0571428571428569</v>
      </c>
      <c r="G945" s="7">
        <f>+VLOOKUP(A945,'Undivideable Expenses'!D$104:AG$201,30,0)</f>
        <v>4082.81</v>
      </c>
      <c r="H945" s="7">
        <f t="shared" si="251"/>
        <v>83.989234285714275</v>
      </c>
    </row>
    <row r="946" spans="1:8" x14ac:dyDescent="0.25">
      <c r="A946" s="6">
        <v>45922</v>
      </c>
      <c r="B946" s="7">
        <v>1502.5</v>
      </c>
      <c r="C946">
        <f>+VLOOKUP(A946,'Undivideable Expenses'!$D$104:$AH$201,31,0)</f>
        <v>23698.75</v>
      </c>
      <c r="D946" s="7">
        <f t="shared" si="250"/>
        <v>6.3399968352761222</v>
      </c>
      <c r="G946" s="7">
        <f>+VLOOKUP(A946,'Undivideable Expenses'!D$104:AG$201,30,0)</f>
        <v>4528.6099999999997</v>
      </c>
      <c r="H946" s="7">
        <f t="shared" si="251"/>
        <v>287.11373068199799</v>
      </c>
    </row>
    <row r="947" spans="1:8" x14ac:dyDescent="0.25">
      <c r="A947" s="6">
        <v>45923</v>
      </c>
      <c r="B947" s="7">
        <v>3550</v>
      </c>
      <c r="C947">
        <f>+VLOOKUP(A947,'Undivideable Expenses'!$D$104:$AH$201,31,0)</f>
        <v>24436.93</v>
      </c>
      <c r="D947" s="7">
        <f t="shared" si="250"/>
        <v>14.527193063940519</v>
      </c>
      <c r="G947" s="7">
        <f>+VLOOKUP(A947,'Undivideable Expenses'!D$104:AG$201,30,0)</f>
        <v>4508.97</v>
      </c>
      <c r="H947" s="7">
        <f t="shared" si="251"/>
        <v>655.02677709515888</v>
      </c>
    </row>
    <row r="948" spans="1:8" x14ac:dyDescent="0.25">
      <c r="A948" s="6">
        <v>45924</v>
      </c>
      <c r="B948" s="7">
        <v>4313.75</v>
      </c>
      <c r="C948">
        <f>+VLOOKUP(A948,'Undivideable Expenses'!$D$104:$AH$201,31,0)</f>
        <v>24463.5</v>
      </c>
      <c r="D948" s="7">
        <f t="shared" si="250"/>
        <v>17.633413043922577</v>
      </c>
      <c r="G948" s="7">
        <f>+VLOOKUP(A948,'Undivideable Expenses'!D$104:AG$201,30,0)</f>
        <v>3936.63</v>
      </c>
      <c r="H948" s="7">
        <f t="shared" si="251"/>
        <v>694.16222791096936</v>
      </c>
    </row>
    <row r="949" spans="1:8" x14ac:dyDescent="0.25">
      <c r="A949" s="6">
        <v>45925</v>
      </c>
      <c r="B949" s="7">
        <v>4142.5</v>
      </c>
      <c r="C949">
        <f>+VLOOKUP(A949,'Undivideable Expenses'!$D$104:$AH$201,31,0)</f>
        <v>24938.75</v>
      </c>
      <c r="D949" s="7">
        <f t="shared" si="250"/>
        <v>16.610696205703977</v>
      </c>
      <c r="G949" s="7">
        <f>+VLOOKUP(A949,'Undivideable Expenses'!D$104:AG$201,30,0)</f>
        <v>3941.13</v>
      </c>
      <c r="H949" s="7">
        <f t="shared" si="251"/>
        <v>654.64913137186124</v>
      </c>
    </row>
    <row r="950" spans="1:8" x14ac:dyDescent="0.25">
      <c r="A950" s="6">
        <v>45926</v>
      </c>
      <c r="B950" s="7">
        <v>2974.7462406015038</v>
      </c>
      <c r="C950">
        <f>+VLOOKUP(A950,'Undivideable Expenses'!$D$104:$AH$201,31,0)</f>
        <v>24910.49</v>
      </c>
      <c r="D950" s="7">
        <f t="shared" si="250"/>
        <v>11.941741172500034</v>
      </c>
      <c r="G950" s="7">
        <f>+VLOOKUP(A950,'Undivideable Expenses'!D$104:AG$201,30,0)</f>
        <v>3930.78</v>
      </c>
      <c r="H950" s="7">
        <f t="shared" si="251"/>
        <v>469.40357366039683</v>
      </c>
    </row>
    <row r="951" spans="1:8" x14ac:dyDescent="0.25">
      <c r="A951" s="6">
        <v>45927</v>
      </c>
      <c r="B951" s="7">
        <v>3780</v>
      </c>
      <c r="C951">
        <f>+VLOOKUP(A951,'Undivideable Expenses'!$D$104:$AH$201,31,0)</f>
        <v>20695.939999999999</v>
      </c>
      <c r="D951" s="7">
        <f t="shared" si="250"/>
        <v>18.26445186833746</v>
      </c>
      <c r="G951" s="7">
        <f>+VLOOKUP(A951,'Undivideable Expenses'!D$104:AG$201,30,0)</f>
        <v>3031.71</v>
      </c>
      <c r="H951" s="7">
        <f t="shared" si="251"/>
        <v>553.72521373757365</v>
      </c>
    </row>
    <row r="952" spans="1:8" x14ac:dyDescent="0.25">
      <c r="A952" s="6">
        <v>45929</v>
      </c>
      <c r="B952" s="7">
        <v>2634.3609445277361</v>
      </c>
      <c r="C952">
        <f>+VLOOKUP(A952,'Undivideable Expenses'!$D$104:$AH$201,31,0)</f>
        <v>23047.47</v>
      </c>
      <c r="D952" s="7">
        <f t="shared" si="250"/>
        <v>11.430152396457121</v>
      </c>
      <c r="G952" s="7">
        <f>+VLOOKUP(A952,'Undivideable Expenses'!D$104:AG$201,30,0)</f>
        <v>3932.92</v>
      </c>
      <c r="H952" s="7">
        <f t="shared" si="251"/>
        <v>449.53874963074139</v>
      </c>
    </row>
    <row r="953" spans="1:8" x14ac:dyDescent="0.25">
      <c r="A953" s="6">
        <v>45930</v>
      </c>
      <c r="B953" s="7">
        <v>3012.5</v>
      </c>
      <c r="C953">
        <f>+VLOOKUP(A953,'Undivideable Expenses'!$D$104:$AH$201,31,0)</f>
        <v>17926.25</v>
      </c>
      <c r="D953" s="7">
        <f t="shared" si="250"/>
        <v>16.804964786277107</v>
      </c>
      <c r="G953" s="7">
        <f>+VLOOKUP(A953,'Undivideable Expenses'!D$104:AG$201,30,0)</f>
        <v>3020.61</v>
      </c>
      <c r="H953" s="7">
        <f t="shared" si="251"/>
        <v>507.61244683076501</v>
      </c>
    </row>
    <row r="954" spans="1:8" x14ac:dyDescent="0.25">
      <c r="A954" s="6">
        <v>45931</v>
      </c>
      <c r="B954" s="7">
        <v>1285</v>
      </c>
      <c r="C954">
        <f>+VLOOKUP(A954,'Undivideable Expenses'!$D$104:$AH$201,31,0)</f>
        <v>19960</v>
      </c>
      <c r="D954" s="7">
        <f t="shared" si="250"/>
        <v>6.4378757515030056</v>
      </c>
      <c r="G954" s="7">
        <f>+VLOOKUP(A954,'Undivideable Expenses'!D$104:AG$201,30,0)</f>
        <v>3837.6094117647058</v>
      </c>
      <c r="H954" s="7">
        <f t="shared" si="251"/>
        <v>247.06052575739713</v>
      </c>
    </row>
    <row r="955" spans="1:8" x14ac:dyDescent="0.25">
      <c r="A955" s="6">
        <v>45932</v>
      </c>
      <c r="B955" s="7">
        <v>2892.5</v>
      </c>
      <c r="C955">
        <f>+VLOOKUP(A955,'Undivideable Expenses'!$D$104:$AH$201,31,0)</f>
        <v>22645.63</v>
      </c>
      <c r="D955" s="7">
        <f t="shared" si="250"/>
        <v>12.772883774926994</v>
      </c>
      <c r="G955" s="7">
        <f>+VLOOKUP(A955,'Undivideable Expenses'!D$104:AG$201,30,0)</f>
        <v>3203.2896078431372</v>
      </c>
      <c r="H955" s="7">
        <f t="shared" si="251"/>
        <v>409.15245858411856</v>
      </c>
    </row>
    <row r="956" spans="1:8" x14ac:dyDescent="0.25">
      <c r="A956" s="6">
        <v>45933</v>
      </c>
      <c r="B956" s="7">
        <v>2033.75</v>
      </c>
      <c r="C956">
        <f>+VLOOKUP(A956,'Undivideable Expenses'!$D$104:$AH$201,31,0)</f>
        <v>18936.25</v>
      </c>
      <c r="D956" s="7">
        <f t="shared" si="250"/>
        <v>10.739982837150967</v>
      </c>
      <c r="G956" s="7">
        <f>+VLOOKUP(A956,'Undivideable Expenses'!D$104:AG$201,30,0)</f>
        <v>3840.6227450980391</v>
      </c>
      <c r="H956" s="7">
        <f t="shared" si="251"/>
        <v>412.48222366324569</v>
      </c>
    </row>
    <row r="957" spans="1:8" x14ac:dyDescent="0.25">
      <c r="A957" s="6">
        <v>45934</v>
      </c>
      <c r="B957" s="7">
        <v>3021.25</v>
      </c>
      <c r="C957">
        <f>+VLOOKUP(A957,'Undivideable Expenses'!$D$104:$AH$201,31,0)</f>
        <v>21914.38</v>
      </c>
      <c r="D957" s="7">
        <f t="shared" si="250"/>
        <v>13.786609523062024</v>
      </c>
      <c r="G957" s="7">
        <f>+VLOOKUP(A957,'Undivideable Expenses'!D$104:AG$201,30,0)</f>
        <v>3754.773333333334</v>
      </c>
      <c r="H957" s="7">
        <f t="shared" si="251"/>
        <v>517.65593794272684</v>
      </c>
    </row>
    <row r="958" spans="1:8" x14ac:dyDescent="0.25">
      <c r="A958" s="6">
        <v>45935</v>
      </c>
      <c r="B958" s="7">
        <v>2380</v>
      </c>
      <c r="C958">
        <f>+VLOOKUP(A958,'Undivideable Expenses'!$D$104:$AH$201,31,0)</f>
        <v>16911.900000000001</v>
      </c>
      <c r="D958" s="7">
        <f t="shared" si="250"/>
        <v>14.072930894813709</v>
      </c>
      <c r="G958" s="7">
        <f>+VLOOKUP(A958,'Undivideable Expenses'!D$104:AG$201,30,0)</f>
        <v>2248.4699999999998</v>
      </c>
      <c r="H958" s="7">
        <f t="shared" si="251"/>
        <v>316.42562929061774</v>
      </c>
    </row>
    <row r="959" spans="1:8" x14ac:dyDescent="0.25">
      <c r="A959" s="6">
        <v>45936</v>
      </c>
      <c r="B959" s="7">
        <v>1675</v>
      </c>
      <c r="C959">
        <f>+VLOOKUP(A959,'Undivideable Expenses'!$D$104:$AH$201,31,0)</f>
        <v>17012.5</v>
      </c>
      <c r="D959" s="7">
        <f t="shared" si="250"/>
        <v>9.8457016899338718</v>
      </c>
      <c r="G959" s="7">
        <f>+VLOOKUP(A959,'Undivideable Expenses'!D$104:AG$201,30,0)</f>
        <v>2950.3319607843141</v>
      </c>
      <c r="H959" s="7">
        <f t="shared" si="251"/>
        <v>290.48088372160038</v>
      </c>
    </row>
    <row r="960" spans="1:8" x14ac:dyDescent="0.25">
      <c r="A960" s="6">
        <v>45937</v>
      </c>
      <c r="B960" s="7">
        <v>272.5</v>
      </c>
      <c r="C960">
        <f>+VLOOKUP(A960,'Undivideable Expenses'!$D$104:$AH$201,31,0)</f>
        <v>21800</v>
      </c>
      <c r="D960" s="7">
        <f t="shared" si="250"/>
        <v>1.25</v>
      </c>
      <c r="G960" s="7">
        <f>+VLOOKUP(A960,'Undivideable Expenses'!D$104:AG$201,30,0)</f>
        <v>3333.5290196078427</v>
      </c>
      <c r="H960" s="7">
        <f t="shared" si="251"/>
        <v>41.669112745098033</v>
      </c>
    </row>
    <row r="962" spans="1:8" x14ac:dyDescent="0.25">
      <c r="A962" t="s">
        <v>211</v>
      </c>
    </row>
    <row r="963" spans="1:8" x14ac:dyDescent="0.25">
      <c r="A963" s="8" t="s">
        <v>6</v>
      </c>
      <c r="B963" s="8" t="s">
        <v>207</v>
      </c>
      <c r="C963" s="22" t="s">
        <v>50</v>
      </c>
      <c r="D963" s="22" t="s">
        <v>9</v>
      </c>
    </row>
    <row r="964" spans="1:8" x14ac:dyDescent="0.25">
      <c r="A964" s="6">
        <v>45903</v>
      </c>
      <c r="B964" s="12">
        <v>115</v>
      </c>
      <c r="C964">
        <f>+VLOOKUP(A964,'Undivideable Expenses'!$D$104:$AH$201,31,0)</f>
        <v>23717.5</v>
      </c>
      <c r="D964" s="7">
        <f>+B964/C964*100</f>
        <v>0.48487403815747865</v>
      </c>
      <c r="G964" s="7">
        <f>+VLOOKUP(A964,'Undivideable Expenses'!D$104:AG$201,30,0)</f>
        <v>3824.46</v>
      </c>
      <c r="H964" s="7">
        <f t="shared" ref="H964" si="252">+G964/100*D964</f>
        <v>18.543813639717506</v>
      </c>
    </row>
    <row r="965" spans="1:8" x14ac:dyDescent="0.25">
      <c r="A965" s="6">
        <v>45904</v>
      </c>
      <c r="B965" s="12">
        <v>2230</v>
      </c>
      <c r="C965">
        <f>+VLOOKUP(A965,'Undivideable Expenses'!$D$104:$AH$201,31,0)</f>
        <v>18022</v>
      </c>
      <c r="D965" s="7">
        <f t="shared" ref="D965:D973" si="253">+B965/C965*100</f>
        <v>12.373765397847075</v>
      </c>
      <c r="G965" s="7">
        <f>+VLOOKUP(A965,'Undivideable Expenses'!D$104:AG$201,30,0)</f>
        <v>3321.4500000000003</v>
      </c>
      <c r="H965" s="7">
        <f t="shared" ref="H965:H973" si="254">+G965/100*D965</f>
        <v>410.98843080679171</v>
      </c>
    </row>
    <row r="966" spans="1:8" x14ac:dyDescent="0.25">
      <c r="A966" s="6">
        <v>45905</v>
      </c>
      <c r="B966" s="12">
        <v>2509.4360902255639</v>
      </c>
      <c r="C966">
        <f>+VLOOKUP(A966,'Undivideable Expenses'!$D$104:$AH$201,31,0)</f>
        <v>22442.61</v>
      </c>
      <c r="D966" s="7">
        <f t="shared" si="253"/>
        <v>11.1815697471264</v>
      </c>
      <c r="G966" s="7">
        <f>+VLOOKUP(A966,'Undivideable Expenses'!D$104:AG$201,30,0)</f>
        <v>4314.3</v>
      </c>
      <c r="H966" s="7">
        <f t="shared" si="254"/>
        <v>482.40646360027426</v>
      </c>
    </row>
    <row r="967" spans="1:8" x14ac:dyDescent="0.25">
      <c r="A967" s="6">
        <v>45906</v>
      </c>
      <c r="B967" s="12">
        <v>593.75</v>
      </c>
      <c r="C967">
        <f>+VLOOKUP(A967,'Undivideable Expenses'!$D$104:$AH$201,31,0)</f>
        <v>25357.03</v>
      </c>
      <c r="D967" s="7">
        <f t="shared" si="253"/>
        <v>2.3415597173643761</v>
      </c>
      <c r="G967" s="7">
        <f>+VLOOKUP(A967,'Undivideable Expenses'!D$104:AG$201,30,0)</f>
        <v>3841.07</v>
      </c>
      <c r="H967" s="7">
        <f t="shared" si="254"/>
        <v>89.94094783576783</v>
      </c>
    </row>
    <row r="968" spans="1:8" x14ac:dyDescent="0.25">
      <c r="A968" s="6">
        <v>45908</v>
      </c>
      <c r="B968" s="12">
        <v>513.75</v>
      </c>
      <c r="C968">
        <f>+VLOOKUP(A968,'Undivideable Expenses'!$D$104:$AH$201,31,0)</f>
        <v>24431.25</v>
      </c>
      <c r="D968" s="7">
        <f t="shared" si="253"/>
        <v>2.1028396009209516</v>
      </c>
      <c r="G968" s="7">
        <f>+VLOOKUP(A968,'Undivideable Expenses'!D$104:AG$201,30,0)</f>
        <v>4129.9399999999996</v>
      </c>
      <c r="H968" s="7">
        <f t="shared" si="254"/>
        <v>86.846013814274741</v>
      </c>
    </row>
    <row r="969" spans="1:8" x14ac:dyDescent="0.25">
      <c r="A969" s="6">
        <v>45909</v>
      </c>
      <c r="B969" s="12">
        <v>217.5</v>
      </c>
      <c r="C969">
        <f>+VLOOKUP(A969,'Undivideable Expenses'!$D$104:$AH$201,31,0)</f>
        <v>25931.25</v>
      </c>
      <c r="D969" s="7">
        <f t="shared" si="253"/>
        <v>0.83875632682574119</v>
      </c>
      <c r="G969" s="7">
        <f>+VLOOKUP(A969,'Undivideable Expenses'!D$104:AG$201,30,0)</f>
        <v>4342.7</v>
      </c>
      <c r="H969" s="7">
        <f t="shared" si="254"/>
        <v>36.424671005061462</v>
      </c>
    </row>
    <row r="970" spans="1:8" x14ac:dyDescent="0.25">
      <c r="A970" s="6">
        <v>45910</v>
      </c>
      <c r="B970" s="12">
        <v>880</v>
      </c>
      <c r="C970">
        <f>+VLOOKUP(A970,'Undivideable Expenses'!$D$104:$AH$201,31,0)</f>
        <v>25830.799999999999</v>
      </c>
      <c r="D970" s="7">
        <f t="shared" si="253"/>
        <v>3.4067856976942257</v>
      </c>
      <c r="G970" s="7">
        <f>+VLOOKUP(A970,'Undivideable Expenses'!D$104:AG$201,30,0)</f>
        <v>4179.7700000000004</v>
      </c>
      <c r="H970" s="7">
        <f t="shared" si="254"/>
        <v>142.39580655651395</v>
      </c>
    </row>
    <row r="971" spans="1:8" x14ac:dyDescent="0.25">
      <c r="A971" s="6">
        <v>45911</v>
      </c>
      <c r="B971" s="12">
        <v>6085</v>
      </c>
      <c r="C971">
        <f>+VLOOKUP(A971,'Undivideable Expenses'!$D$104:$AH$201,31,0)</f>
        <v>26752.45</v>
      </c>
      <c r="D971" s="7">
        <f t="shared" si="253"/>
        <v>22.745580311335971</v>
      </c>
      <c r="G971" s="7">
        <f>+VLOOKUP(A971,'Undivideable Expenses'!D$104:AG$201,30,0)</f>
        <v>4547.96</v>
      </c>
      <c r="H971" s="7">
        <f t="shared" si="254"/>
        <v>1034.4598943274354</v>
      </c>
    </row>
    <row r="972" spans="1:8" x14ac:dyDescent="0.25">
      <c r="A972" s="6">
        <v>45912</v>
      </c>
      <c r="B972" s="12">
        <v>2966.25</v>
      </c>
      <c r="C972">
        <f>+VLOOKUP(A972,'Undivideable Expenses'!$D$104:$AH$201,31,0)</f>
        <v>25098.19</v>
      </c>
      <c r="D972" s="7">
        <f t="shared" si="253"/>
        <v>11.818581339929295</v>
      </c>
      <c r="G972" s="7">
        <f>+VLOOKUP(A972,'Undivideable Expenses'!D$104:AG$201,30,0)</f>
        <v>4596.2699999999995</v>
      </c>
      <c r="H972" s="7">
        <f t="shared" si="254"/>
        <v>543.2139085527682</v>
      </c>
    </row>
    <row r="973" spans="1:8" x14ac:dyDescent="0.25">
      <c r="A973" s="6">
        <v>45913</v>
      </c>
      <c r="B973" s="12">
        <v>550</v>
      </c>
      <c r="C973">
        <f>+VLOOKUP(A973,'Undivideable Expenses'!$D$104:$AH$201,31,0)</f>
        <v>23180.7</v>
      </c>
      <c r="D973" s="7">
        <f t="shared" si="253"/>
        <v>2.3726634657279546</v>
      </c>
      <c r="G973" s="7">
        <f>+VLOOKUP(A973,'Undivideable Expenses'!D$104:AG$201,30,0)</f>
        <v>3633.71</v>
      </c>
      <c r="H973" s="7">
        <f t="shared" si="254"/>
        <v>86.215709620503262</v>
      </c>
    </row>
    <row r="974" spans="1:8" x14ac:dyDescent="0.25">
      <c r="A974" s="6"/>
      <c r="B974" s="12"/>
      <c r="D974" s="7"/>
      <c r="G974" s="7"/>
      <c r="H974" s="7"/>
    </row>
    <row r="975" spans="1:8" x14ac:dyDescent="0.25">
      <c r="A975" t="s">
        <v>212</v>
      </c>
    </row>
    <row r="976" spans="1:8" x14ac:dyDescent="0.25">
      <c r="A976" s="8" t="s">
        <v>6</v>
      </c>
      <c r="B976" s="8" t="s">
        <v>208</v>
      </c>
      <c r="C976" s="22" t="s">
        <v>50</v>
      </c>
      <c r="D976" s="22" t="s">
        <v>9</v>
      </c>
    </row>
    <row r="977" spans="1:8" x14ac:dyDescent="0.25">
      <c r="A977" s="6">
        <v>45897</v>
      </c>
      <c r="B977" s="12">
        <v>350.60606060606062</v>
      </c>
      <c r="C977">
        <f>+VLOOKUP(A977,'Undivideable Expenses'!$D$104:$AH$201,31,0)</f>
        <v>0</v>
      </c>
      <c r="D977" s="7" t="e">
        <f>+B977/C977*100</f>
        <v>#DIV/0!</v>
      </c>
      <c r="G977" s="7">
        <f>+VLOOKUP(A977,'Undivideable Expenses'!D$104:AG$201,30,0)</f>
        <v>0</v>
      </c>
      <c r="H977" s="7" t="e">
        <f t="shared" ref="H977" si="255">+G977/100*D977</f>
        <v>#DIV/0!</v>
      </c>
    </row>
    <row r="978" spans="1:8" x14ac:dyDescent="0.25">
      <c r="A978" s="6">
        <v>45898</v>
      </c>
      <c r="B978" s="12">
        <v>605</v>
      </c>
      <c r="C978">
        <f>+VLOOKUP(A978,'Undivideable Expenses'!$D$104:$AH$201,31,0)</f>
        <v>0</v>
      </c>
      <c r="D978" s="7" t="e">
        <f t="shared" ref="D978:D994" si="256">+B978/C978*100</f>
        <v>#DIV/0!</v>
      </c>
      <c r="G978" s="7">
        <f>+VLOOKUP(A978,'Undivideable Expenses'!D$104:AG$201,30,0)</f>
        <v>0</v>
      </c>
      <c r="H978" s="7" t="e">
        <f t="shared" ref="H978:H994" si="257">+G978/100*D978</f>
        <v>#DIV/0!</v>
      </c>
    </row>
    <row r="979" spans="1:8" x14ac:dyDescent="0.25">
      <c r="A979" s="6">
        <v>45899</v>
      </c>
      <c r="B979" s="12">
        <v>1661.9230769230769</v>
      </c>
      <c r="C979">
        <f>+VLOOKUP(A979,'Undivideable Expenses'!$D$104:$AH$201,31,0)</f>
        <v>0</v>
      </c>
      <c r="D979" s="7" t="e">
        <f t="shared" si="256"/>
        <v>#DIV/0!</v>
      </c>
      <c r="G979" s="7">
        <f>+VLOOKUP(A979,'Undivideable Expenses'!D$104:AG$201,30,0)</f>
        <v>0</v>
      </c>
      <c r="H979" s="7" t="e">
        <f t="shared" si="257"/>
        <v>#DIV/0!</v>
      </c>
    </row>
    <row r="980" spans="1:8" x14ac:dyDescent="0.25">
      <c r="A980" s="6">
        <v>45901</v>
      </c>
      <c r="B980" s="12">
        <v>1870.9985902255639</v>
      </c>
      <c r="C980">
        <f>+VLOOKUP(A980,'Undivideable Expenses'!$D$104:$AH$201,31,0)</f>
        <v>20357.310000000001</v>
      </c>
      <c r="D980" s="7">
        <f t="shared" si="256"/>
        <v>9.190794806512077</v>
      </c>
      <c r="G980" s="7">
        <f>+VLOOKUP(A980,'Undivideable Expenses'!D$104:AG$201,30,0)</f>
        <v>4437.38</v>
      </c>
      <c r="H980" s="7">
        <f t="shared" si="257"/>
        <v>407.83049058520561</v>
      </c>
    </row>
    <row r="981" spans="1:8" x14ac:dyDescent="0.25">
      <c r="A981" s="6">
        <v>45902</v>
      </c>
      <c r="B981" s="12">
        <v>931.15384615384619</v>
      </c>
      <c r="C981">
        <f>+VLOOKUP(A981,'Undivideable Expenses'!$D$104:$AH$201,31,0)</f>
        <v>23629.9</v>
      </c>
      <c r="D981" s="7">
        <f t="shared" si="256"/>
        <v>3.940574637022781</v>
      </c>
      <c r="G981" s="7">
        <f>+VLOOKUP(A981,'Undivideable Expenses'!D$104:AG$201,30,0)</f>
        <v>4535.63</v>
      </c>
      <c r="H981" s="7">
        <f t="shared" si="257"/>
        <v>178.72988540919638</v>
      </c>
    </row>
    <row r="982" spans="1:8" x14ac:dyDescent="0.25">
      <c r="A982" s="6">
        <v>45903</v>
      </c>
      <c r="B982" s="12">
        <v>331.25</v>
      </c>
      <c r="C982">
        <f>+VLOOKUP(A982,'Undivideable Expenses'!$D$104:$AH$201,31,0)</f>
        <v>23717.5</v>
      </c>
      <c r="D982" s="7">
        <f t="shared" si="256"/>
        <v>1.3966480446927374</v>
      </c>
      <c r="G982" s="7">
        <f>+VLOOKUP(A982,'Undivideable Expenses'!D$104:AG$201,30,0)</f>
        <v>3824.46</v>
      </c>
      <c r="H982" s="7">
        <f t="shared" si="257"/>
        <v>53.41424581005586</v>
      </c>
    </row>
    <row r="983" spans="1:8" x14ac:dyDescent="0.25">
      <c r="A983" s="6">
        <v>45904</v>
      </c>
      <c r="B983" s="12">
        <v>200</v>
      </c>
      <c r="C983">
        <f>+VLOOKUP(A983,'Undivideable Expenses'!$D$104:$AH$201,31,0)</f>
        <v>18022</v>
      </c>
      <c r="D983" s="7">
        <f t="shared" si="256"/>
        <v>1.1097547442015314</v>
      </c>
      <c r="G983" s="7">
        <f>+VLOOKUP(A983,'Undivideable Expenses'!D$104:AG$201,30,0)</f>
        <v>3321.4500000000003</v>
      </c>
      <c r="H983" s="7">
        <f t="shared" si="257"/>
        <v>36.859948951281766</v>
      </c>
    </row>
    <row r="984" spans="1:8" x14ac:dyDescent="0.25">
      <c r="A984" s="6">
        <v>45905</v>
      </c>
      <c r="B984" s="12">
        <v>865</v>
      </c>
      <c r="C984">
        <f>+VLOOKUP(A984,'Undivideable Expenses'!$D$104:$AH$201,31,0)</f>
        <v>22442.61</v>
      </c>
      <c r="D984" s="7">
        <f t="shared" si="256"/>
        <v>3.8542754162728841</v>
      </c>
      <c r="G984" s="7">
        <f>+VLOOKUP(A984,'Undivideable Expenses'!D$104:AG$201,30,0)</f>
        <v>4314.3</v>
      </c>
      <c r="H984" s="7">
        <f t="shared" si="257"/>
        <v>166.28500428426105</v>
      </c>
    </row>
    <row r="985" spans="1:8" x14ac:dyDescent="0.25">
      <c r="A985" s="6">
        <v>45906</v>
      </c>
      <c r="B985" s="12">
        <v>1638.2424812030074</v>
      </c>
      <c r="C985">
        <f>+VLOOKUP(A985,'Undivideable Expenses'!$D$104:$AH$201,31,0)</f>
        <v>25357.03</v>
      </c>
      <c r="D985" s="7">
        <f t="shared" si="256"/>
        <v>6.4607033284379414</v>
      </c>
      <c r="G985" s="7">
        <f>+VLOOKUP(A985,'Undivideable Expenses'!D$104:AG$201,30,0)</f>
        <v>3841.07</v>
      </c>
      <c r="H985" s="7">
        <f t="shared" si="257"/>
        <v>248.16013733763123</v>
      </c>
    </row>
    <row r="986" spans="1:8" x14ac:dyDescent="0.25">
      <c r="A986" s="6">
        <v>45908</v>
      </c>
      <c r="B986" s="12">
        <v>1543.75</v>
      </c>
      <c r="C986">
        <f>+VLOOKUP(A986,'Undivideable Expenses'!$D$104:$AH$201,31,0)</f>
        <v>24431.25</v>
      </c>
      <c r="D986" s="7">
        <f t="shared" si="256"/>
        <v>6.3187515988743916</v>
      </c>
      <c r="G986" s="7">
        <f>+VLOOKUP(A986,'Undivideable Expenses'!D$104:AG$201,30,0)</f>
        <v>4129.9399999999996</v>
      </c>
      <c r="H986" s="7">
        <f t="shared" si="257"/>
        <v>260.96064978255305</v>
      </c>
    </row>
    <row r="987" spans="1:8" x14ac:dyDescent="0.25">
      <c r="A987" s="6">
        <v>45909</v>
      </c>
      <c r="B987" s="12">
        <v>2628.75</v>
      </c>
      <c r="C987">
        <f>+VLOOKUP(A987,'Undivideable Expenses'!$D$104:$AH$201,31,0)</f>
        <v>25931.25</v>
      </c>
      <c r="D987" s="7">
        <f t="shared" si="256"/>
        <v>10.137382501807664</v>
      </c>
      <c r="G987" s="7">
        <f>+VLOOKUP(A987,'Undivideable Expenses'!D$104:AG$201,30,0)</f>
        <v>4342.7</v>
      </c>
      <c r="H987" s="7">
        <f t="shared" si="257"/>
        <v>440.23610990600145</v>
      </c>
    </row>
    <row r="988" spans="1:8" x14ac:dyDescent="0.25">
      <c r="A988" s="6">
        <v>45910</v>
      </c>
      <c r="B988" s="12">
        <v>2938.75</v>
      </c>
      <c r="C988">
        <f>+VLOOKUP(A988,'Undivideable Expenses'!$D$104:$AH$201,31,0)</f>
        <v>25830.799999999999</v>
      </c>
      <c r="D988" s="7">
        <f t="shared" si="256"/>
        <v>11.376922123976028</v>
      </c>
      <c r="G988" s="7">
        <f>+VLOOKUP(A988,'Undivideable Expenses'!D$104:AG$201,30,0)</f>
        <v>4179.7700000000004</v>
      </c>
      <c r="H988" s="7">
        <f t="shared" si="257"/>
        <v>475.52917786131292</v>
      </c>
    </row>
    <row r="989" spans="1:8" x14ac:dyDescent="0.25">
      <c r="A989" s="6">
        <v>45911</v>
      </c>
      <c r="B989" s="12">
        <v>1426.25</v>
      </c>
      <c r="C989">
        <f>+VLOOKUP(A989,'Undivideable Expenses'!$D$104:$AH$201,31,0)</f>
        <v>26752.45</v>
      </c>
      <c r="D989" s="7">
        <f t="shared" si="256"/>
        <v>5.3312874147975231</v>
      </c>
      <c r="G989" s="7">
        <f>+VLOOKUP(A989,'Undivideable Expenses'!D$104:AG$201,30,0)</f>
        <v>4547.96</v>
      </c>
      <c r="H989" s="7">
        <f t="shared" si="257"/>
        <v>242.46481911002542</v>
      </c>
    </row>
    <row r="990" spans="1:8" x14ac:dyDescent="0.25">
      <c r="A990" s="6">
        <v>45912</v>
      </c>
      <c r="B990" s="12">
        <v>988.75</v>
      </c>
      <c r="C990">
        <f>+VLOOKUP(A990,'Undivideable Expenses'!$D$104:$AH$201,31,0)</f>
        <v>25098.19</v>
      </c>
      <c r="D990" s="7">
        <f t="shared" si="256"/>
        <v>3.9395271133097647</v>
      </c>
      <c r="G990" s="7">
        <f>+VLOOKUP(A990,'Undivideable Expenses'!D$104:AG$201,30,0)</f>
        <v>4596.2699999999995</v>
      </c>
      <c r="H990" s="7">
        <f t="shared" si="257"/>
        <v>181.07130285092271</v>
      </c>
    </row>
    <row r="991" spans="1:8" x14ac:dyDescent="0.25">
      <c r="A991" s="6">
        <v>45913</v>
      </c>
      <c r="B991" s="12">
        <v>411.25</v>
      </c>
      <c r="C991">
        <f>+VLOOKUP(A991,'Undivideable Expenses'!$D$104:$AH$201,31,0)</f>
        <v>23180.7</v>
      </c>
      <c r="D991" s="7">
        <f t="shared" si="256"/>
        <v>1.7741051823284024</v>
      </c>
      <c r="G991" s="7">
        <f>+VLOOKUP(A991,'Undivideable Expenses'!D$104:AG$201,30,0)</f>
        <v>3633.71</v>
      </c>
      <c r="H991" s="7">
        <f t="shared" si="257"/>
        <v>64.465837420785391</v>
      </c>
    </row>
    <row r="992" spans="1:8" x14ac:dyDescent="0.25">
      <c r="A992" s="6">
        <v>45915</v>
      </c>
      <c r="B992" s="12">
        <v>293.75</v>
      </c>
      <c r="C992">
        <f>+VLOOKUP(A992,'Undivideable Expenses'!$D$104:$AH$201,31,0)</f>
        <v>26345.4</v>
      </c>
      <c r="D992" s="7">
        <f t="shared" si="256"/>
        <v>1.1149954071678547</v>
      </c>
      <c r="G992" s="7">
        <f>+VLOOKUP(A992,'Undivideable Expenses'!D$104:AG$201,30,0)</f>
        <v>4497.5</v>
      </c>
      <c r="H992" s="7">
        <f t="shared" si="257"/>
        <v>50.146918437374268</v>
      </c>
    </row>
    <row r="993" spans="1:8" x14ac:dyDescent="0.25">
      <c r="A993" s="6">
        <v>45916</v>
      </c>
      <c r="B993" s="12">
        <v>260</v>
      </c>
      <c r="C993">
        <f>+VLOOKUP(A993,'Undivideable Expenses'!$D$104:$AH$201,31,0)</f>
        <v>26795</v>
      </c>
      <c r="D993" s="7">
        <f t="shared" si="256"/>
        <v>0.97033028550102629</v>
      </c>
      <c r="G993" s="7">
        <f>+VLOOKUP(A993,'Undivideable Expenses'!D$104:AG$201,30,0)</f>
        <v>4756.51</v>
      </c>
      <c r="H993" s="7">
        <f t="shared" si="257"/>
        <v>46.153857062884867</v>
      </c>
    </row>
    <row r="994" spans="1:8" x14ac:dyDescent="0.25">
      <c r="A994" s="6">
        <v>45917</v>
      </c>
      <c r="B994" s="12">
        <v>220</v>
      </c>
      <c r="C994">
        <f>+VLOOKUP(A994,'Undivideable Expenses'!$D$104:$AH$201,31,0)</f>
        <v>23606.31</v>
      </c>
      <c r="D994" s="7">
        <f t="shared" si="256"/>
        <v>0.93195421054794236</v>
      </c>
      <c r="G994" s="7">
        <f>+VLOOKUP(A994,'Undivideable Expenses'!D$104:AG$201,30,0)</f>
        <v>4441.4399999999996</v>
      </c>
      <c r="H994" s="7">
        <f t="shared" si="257"/>
        <v>41.392187088960526</v>
      </c>
    </row>
    <row r="996" spans="1:8" x14ac:dyDescent="0.25">
      <c r="A996" t="s">
        <v>213</v>
      </c>
    </row>
    <row r="997" spans="1:8" x14ac:dyDescent="0.25">
      <c r="A997" s="8" t="s">
        <v>6</v>
      </c>
      <c r="B997" s="8" t="s">
        <v>214</v>
      </c>
      <c r="C997" s="22" t="s">
        <v>50</v>
      </c>
      <c r="D997" s="22" t="s">
        <v>9</v>
      </c>
    </row>
    <row r="998" spans="1:8" x14ac:dyDescent="0.25">
      <c r="A998" s="6">
        <v>45903</v>
      </c>
      <c r="B998" s="12">
        <v>1775</v>
      </c>
      <c r="C998">
        <f>+VLOOKUP(A998,'Undivideable Expenses'!$D$104:$AH$201,31,0)</f>
        <v>23717.5</v>
      </c>
      <c r="D998" s="7">
        <f>+B998/C998*100</f>
        <v>7.4839253715610825</v>
      </c>
      <c r="G998" s="7">
        <f>+VLOOKUP(A998,'Undivideable Expenses'!D$104:AG$201,30,0)</f>
        <v>3824.46</v>
      </c>
      <c r="H998" s="7">
        <f t="shared" ref="H998" si="258">+G998/100*D998</f>
        <v>286.21973226520498</v>
      </c>
    </row>
    <row r="999" spans="1:8" x14ac:dyDescent="0.25">
      <c r="A999" s="6">
        <v>45904</v>
      </c>
      <c r="B999" s="12">
        <v>1214</v>
      </c>
      <c r="C999">
        <f>+VLOOKUP(A999,'Undivideable Expenses'!$D$104:$AH$201,31,0)</f>
        <v>18022</v>
      </c>
      <c r="D999" s="7">
        <f t="shared" ref="D999:D1011" si="259">+B999/C999*100</f>
        <v>6.7362112973032957</v>
      </c>
      <c r="G999" s="7">
        <f>+VLOOKUP(A999,'Undivideable Expenses'!D$104:AG$201,30,0)</f>
        <v>3321.4500000000003</v>
      </c>
      <c r="H999" s="7">
        <f t="shared" ref="H999:H1011" si="260">+G999/100*D999</f>
        <v>223.73989013428033</v>
      </c>
    </row>
    <row r="1000" spans="1:8" x14ac:dyDescent="0.25">
      <c r="A1000" s="6">
        <v>45905</v>
      </c>
      <c r="B1000" s="12">
        <v>778.75</v>
      </c>
      <c r="C1000">
        <f>+VLOOKUP(A1000,'Undivideable Expenses'!$D$104:$AH$201,31,0)</f>
        <v>22442.61</v>
      </c>
      <c r="D1000" s="7">
        <f t="shared" si="259"/>
        <v>3.4699618270780448</v>
      </c>
      <c r="G1000" s="7">
        <f>+VLOOKUP(A1000,'Undivideable Expenses'!D$104:AG$201,30,0)</f>
        <v>4314.3</v>
      </c>
      <c r="H1000" s="7">
        <f t="shared" si="260"/>
        <v>149.7045631056281</v>
      </c>
    </row>
    <row r="1001" spans="1:8" x14ac:dyDescent="0.25">
      <c r="A1001" s="6">
        <v>45906</v>
      </c>
      <c r="B1001" s="12">
        <v>123.75</v>
      </c>
      <c r="C1001">
        <f>+VLOOKUP(A1001,'Undivideable Expenses'!$D$104:$AH$201,31,0)</f>
        <v>25357.03</v>
      </c>
      <c r="D1001" s="7">
        <f t="shared" si="259"/>
        <v>0.48803034109278576</v>
      </c>
      <c r="G1001" s="7">
        <f>+VLOOKUP(A1001,'Undivideable Expenses'!D$104:AG$201,30,0)</f>
        <v>3841.07</v>
      </c>
      <c r="H1001" s="7">
        <f t="shared" si="260"/>
        <v>18.745587022612664</v>
      </c>
    </row>
    <row r="1002" spans="1:8" x14ac:dyDescent="0.25">
      <c r="A1002" s="6">
        <v>45908</v>
      </c>
      <c r="B1002" s="12">
        <v>123.75</v>
      </c>
      <c r="C1002">
        <f>+VLOOKUP(A1002,'Undivideable Expenses'!$D$104:$AH$201,31,0)</f>
        <v>24431.25</v>
      </c>
      <c r="D1002" s="7">
        <f t="shared" si="259"/>
        <v>0.50652340752110514</v>
      </c>
      <c r="G1002" s="7">
        <f>+VLOOKUP(A1002,'Undivideable Expenses'!D$104:AG$201,30,0)</f>
        <v>4129.9399999999996</v>
      </c>
      <c r="H1002" s="7">
        <f t="shared" si="260"/>
        <v>20.91911281657713</v>
      </c>
    </row>
    <row r="1003" spans="1:8" x14ac:dyDescent="0.25">
      <c r="A1003" s="6">
        <v>45909</v>
      </c>
      <c r="B1003" s="12">
        <v>143.75</v>
      </c>
      <c r="C1003">
        <f>+VLOOKUP(A1003,'Undivideable Expenses'!$D$104:$AH$201,31,0)</f>
        <v>25931.25</v>
      </c>
      <c r="D1003" s="7">
        <f t="shared" si="259"/>
        <v>0.55435044589057603</v>
      </c>
      <c r="G1003" s="7">
        <f>+VLOOKUP(A1003,'Undivideable Expenses'!D$104:AG$201,30,0)</f>
        <v>4342.7</v>
      </c>
      <c r="H1003" s="7">
        <f t="shared" si="260"/>
        <v>24.073776813690046</v>
      </c>
    </row>
    <row r="1004" spans="1:8" x14ac:dyDescent="0.25">
      <c r="A1004" s="6">
        <v>45910</v>
      </c>
      <c r="B1004" s="12">
        <v>450</v>
      </c>
      <c r="C1004">
        <f>+VLOOKUP(A1004,'Undivideable Expenses'!$D$104:$AH$201,31,0)</f>
        <v>25830.799999999999</v>
      </c>
      <c r="D1004" s="7">
        <f t="shared" si="259"/>
        <v>1.7421063226845472</v>
      </c>
      <c r="G1004" s="7">
        <f>+VLOOKUP(A1004,'Undivideable Expenses'!D$104:AG$201,30,0)</f>
        <v>4179.7700000000004</v>
      </c>
      <c r="H1004" s="7">
        <f t="shared" si="260"/>
        <v>72.816037443671917</v>
      </c>
    </row>
    <row r="1005" spans="1:8" x14ac:dyDescent="0.25">
      <c r="A1005" s="6">
        <v>45911</v>
      </c>
      <c r="B1005" s="12">
        <v>338.75</v>
      </c>
      <c r="C1005">
        <f>+VLOOKUP(A1005,'Undivideable Expenses'!$D$104:$AH$201,31,0)</f>
        <v>26752.45</v>
      </c>
      <c r="D1005" s="7">
        <f t="shared" si="259"/>
        <v>1.2662391668800428</v>
      </c>
      <c r="G1005" s="7">
        <f>+VLOOKUP(A1005,'Undivideable Expenses'!D$104:AG$201,30,0)</f>
        <v>4547.96</v>
      </c>
      <c r="H1005" s="7">
        <f t="shared" si="260"/>
        <v>57.588050814037594</v>
      </c>
    </row>
    <row r="1006" spans="1:8" x14ac:dyDescent="0.25">
      <c r="A1006" s="6">
        <v>45912</v>
      </c>
      <c r="B1006" s="12">
        <v>2237.5</v>
      </c>
      <c r="C1006">
        <f>+VLOOKUP(A1006,'Undivideable Expenses'!$D$104:$AH$201,31,0)</f>
        <v>25098.19</v>
      </c>
      <c r="D1006" s="7">
        <f t="shared" si="259"/>
        <v>8.9149855029386593</v>
      </c>
      <c r="G1006" s="7">
        <f>+VLOOKUP(A1006,'Undivideable Expenses'!D$104:AG$201,30,0)</f>
        <v>4596.2699999999995</v>
      </c>
      <c r="H1006" s="7">
        <f t="shared" si="260"/>
        <v>409.75680417591872</v>
      </c>
    </row>
    <row r="1007" spans="1:8" x14ac:dyDescent="0.25">
      <c r="A1007" s="6">
        <v>45913</v>
      </c>
      <c r="B1007" s="12">
        <v>3285</v>
      </c>
      <c r="C1007">
        <f>+VLOOKUP(A1007,'Undivideable Expenses'!$D$104:$AH$201,31,0)</f>
        <v>23180.7</v>
      </c>
      <c r="D1007" s="7">
        <f t="shared" si="259"/>
        <v>14.171271790756965</v>
      </c>
      <c r="G1007" s="7">
        <f>+VLOOKUP(A1007,'Undivideable Expenses'!D$104:AG$201,30,0)</f>
        <v>3633.71</v>
      </c>
      <c r="H1007" s="7">
        <f t="shared" si="260"/>
        <v>514.94292018791486</v>
      </c>
    </row>
    <row r="1008" spans="1:8" x14ac:dyDescent="0.25">
      <c r="A1008" s="6">
        <v>45915</v>
      </c>
      <c r="B1008" s="12">
        <v>2546.25</v>
      </c>
      <c r="C1008">
        <f>+VLOOKUP(A1008,'Undivideable Expenses'!$D$104:$AH$201,31,0)</f>
        <v>26345.4</v>
      </c>
      <c r="D1008" s="7">
        <f t="shared" si="259"/>
        <v>9.6648750825571064</v>
      </c>
      <c r="G1008" s="7">
        <f>+VLOOKUP(A1008,'Undivideable Expenses'!D$104:AG$201,30,0)</f>
        <v>4497.5</v>
      </c>
      <c r="H1008" s="7">
        <f t="shared" si="260"/>
        <v>434.67775683800585</v>
      </c>
    </row>
    <row r="1009" spans="1:8" x14ac:dyDescent="0.25">
      <c r="A1009" s="6">
        <v>45916</v>
      </c>
      <c r="B1009" s="12">
        <v>2031.25</v>
      </c>
      <c r="C1009">
        <f>+VLOOKUP(A1009,'Undivideable Expenses'!$D$104:$AH$201,31,0)</f>
        <v>26795</v>
      </c>
      <c r="D1009" s="7">
        <f t="shared" si="259"/>
        <v>7.5807053554767672</v>
      </c>
      <c r="G1009" s="7">
        <f>+VLOOKUP(A1009,'Undivideable Expenses'!D$104:AG$201,30,0)</f>
        <v>4756.51</v>
      </c>
      <c r="H1009" s="7">
        <f t="shared" si="260"/>
        <v>360.57700830378798</v>
      </c>
    </row>
    <row r="1010" spans="1:8" x14ac:dyDescent="0.25">
      <c r="A1010" s="6">
        <v>45917</v>
      </c>
      <c r="B1010" s="12">
        <v>691.875</v>
      </c>
      <c r="C1010">
        <f>+VLOOKUP(A1010,'Undivideable Expenses'!$D$104:$AH$201,31,0)</f>
        <v>23606.31</v>
      </c>
      <c r="D1010" s="7">
        <f t="shared" si="259"/>
        <v>2.9308900882857167</v>
      </c>
      <c r="G1010" s="7">
        <f>+VLOOKUP(A1010,'Undivideable Expenses'!D$104:AG$201,30,0)</f>
        <v>4441.4399999999996</v>
      </c>
      <c r="H1010" s="7">
        <f t="shared" si="260"/>
        <v>130.17372473715713</v>
      </c>
    </row>
    <row r="1011" spans="1:8" x14ac:dyDescent="0.25">
      <c r="A1011" s="6">
        <v>45918</v>
      </c>
      <c r="B1011" s="12">
        <v>382.5</v>
      </c>
      <c r="C1011">
        <f>+VLOOKUP(A1011,'Undivideable Expenses'!$D$104:$AH$201,31,0)</f>
        <v>22551.25</v>
      </c>
      <c r="D1011" s="7">
        <f t="shared" si="259"/>
        <v>1.6961365777950224</v>
      </c>
      <c r="G1011" s="7">
        <f>+VLOOKUP(A1011,'Undivideable Expenses'!D$104:AG$201,30,0)</f>
        <v>4633.42</v>
      </c>
      <c r="H1011" s="7">
        <f t="shared" si="260"/>
        <v>78.589131422870125</v>
      </c>
    </row>
    <row r="1013" spans="1:8" x14ac:dyDescent="0.25">
      <c r="A1013" t="s">
        <v>216</v>
      </c>
    </row>
    <row r="1014" spans="1:8" x14ac:dyDescent="0.25">
      <c r="A1014" s="8" t="s">
        <v>6</v>
      </c>
      <c r="B1014" s="8" t="s">
        <v>215</v>
      </c>
      <c r="C1014" s="22" t="s">
        <v>50</v>
      </c>
      <c r="D1014" s="22" t="s">
        <v>9</v>
      </c>
    </row>
    <row r="1015" spans="1:8" x14ac:dyDescent="0.25">
      <c r="A1015" s="6">
        <v>45905</v>
      </c>
      <c r="B1015" s="12">
        <v>428.75</v>
      </c>
      <c r="C1015">
        <f>+VLOOKUP(A1015,'Undivideable Expenses'!$D$104:$AH$201,31,0)</f>
        <v>22442.61</v>
      </c>
      <c r="D1015" s="7">
        <f>+B1015/C1015*100</f>
        <v>1.9104284216497101</v>
      </c>
      <c r="G1015" s="7">
        <f>+VLOOKUP(A1015,'Undivideable Expenses'!D$104:AG$201,30,0)</f>
        <v>4314.3</v>
      </c>
      <c r="H1015" s="7">
        <f t="shared" ref="H1015" si="261">+G1015/100*D1015</f>
        <v>82.421613395233436</v>
      </c>
    </row>
    <row r="1016" spans="1:8" x14ac:dyDescent="0.25">
      <c r="A1016" s="6">
        <v>45906</v>
      </c>
      <c r="B1016" s="12">
        <v>2384.4266917293235</v>
      </c>
      <c r="C1016">
        <f>+VLOOKUP(A1016,'Undivideable Expenses'!$D$104:$AH$201,31,0)</f>
        <v>25357.03</v>
      </c>
      <c r="D1016" s="7">
        <f t="shared" ref="D1016:D1023" si="262">+B1016/C1016*100</f>
        <v>9.4034147206093284</v>
      </c>
      <c r="G1016" s="7">
        <f>+VLOOKUP(A1016,'Undivideable Expenses'!D$104:AG$201,30,0)</f>
        <v>3841.07</v>
      </c>
      <c r="H1016" s="7">
        <f t="shared" ref="H1016:H1023" si="263">+G1016/100*D1016</f>
        <v>361.19174180890872</v>
      </c>
    </row>
    <row r="1017" spans="1:8" x14ac:dyDescent="0.25">
      <c r="A1017" s="6">
        <v>45908</v>
      </c>
      <c r="B1017" s="12">
        <v>1051.25</v>
      </c>
      <c r="C1017">
        <f>+VLOOKUP(A1017,'Undivideable Expenses'!$D$104:$AH$201,31,0)</f>
        <v>24431.25</v>
      </c>
      <c r="D1017" s="7">
        <f t="shared" si="262"/>
        <v>4.3028907649015098</v>
      </c>
      <c r="G1017" s="7">
        <f>+VLOOKUP(A1017,'Undivideable Expenses'!D$104:AG$201,30,0)</f>
        <v>4129.9399999999996</v>
      </c>
      <c r="H1017" s="7">
        <f t="shared" si="263"/>
        <v>177.70680685597341</v>
      </c>
    </row>
    <row r="1018" spans="1:8" x14ac:dyDescent="0.25">
      <c r="A1018" s="6">
        <v>45909</v>
      </c>
      <c r="B1018" s="12">
        <v>797.5</v>
      </c>
      <c r="C1018">
        <f>+VLOOKUP(A1018,'Undivideable Expenses'!$D$104:$AH$201,31,0)</f>
        <v>25931.25</v>
      </c>
      <c r="D1018" s="7">
        <f t="shared" si="262"/>
        <v>3.0754398650277173</v>
      </c>
      <c r="G1018" s="7">
        <f>+VLOOKUP(A1018,'Undivideable Expenses'!D$104:AG$201,30,0)</f>
        <v>4342.7</v>
      </c>
      <c r="H1018" s="7">
        <f t="shared" si="263"/>
        <v>133.55712701855867</v>
      </c>
    </row>
    <row r="1019" spans="1:8" x14ac:dyDescent="0.25">
      <c r="A1019" s="6">
        <v>45915</v>
      </c>
      <c r="B1019" s="12">
        <v>2335</v>
      </c>
      <c r="C1019">
        <f>+VLOOKUP(A1019,'Undivideable Expenses'!$D$104:$AH$201,31,0)</f>
        <v>26345.4</v>
      </c>
      <c r="D1019" s="7">
        <f t="shared" si="262"/>
        <v>8.86302732165767</v>
      </c>
      <c r="G1019" s="7">
        <f>+VLOOKUP(A1019,'Undivideable Expenses'!D$104:AG$201,30,0)</f>
        <v>4497.5</v>
      </c>
      <c r="H1019" s="7">
        <f t="shared" si="263"/>
        <v>398.61465379155374</v>
      </c>
    </row>
    <row r="1020" spans="1:8" x14ac:dyDescent="0.25">
      <c r="A1020" s="6">
        <v>45916</v>
      </c>
      <c r="B1020" s="12">
        <v>2037.5</v>
      </c>
      <c r="C1020">
        <f>+VLOOKUP(A1020,'Undivideable Expenses'!$D$104:$AH$201,31,0)</f>
        <v>26795</v>
      </c>
      <c r="D1020" s="7">
        <f t="shared" si="262"/>
        <v>7.6040306027243894</v>
      </c>
      <c r="G1020" s="7">
        <f>+VLOOKUP(A1020,'Undivideable Expenses'!D$104:AG$201,30,0)</f>
        <v>4756.51</v>
      </c>
      <c r="H1020" s="7">
        <f t="shared" si="263"/>
        <v>361.68647602164589</v>
      </c>
    </row>
    <row r="1021" spans="1:8" x14ac:dyDescent="0.25">
      <c r="A1021" s="6">
        <v>45917</v>
      </c>
      <c r="B1021" s="12">
        <v>673.75</v>
      </c>
      <c r="C1021">
        <f>+VLOOKUP(A1021,'Undivideable Expenses'!$D$104:$AH$201,31,0)</f>
        <v>23606.31</v>
      </c>
      <c r="D1021" s="7">
        <f t="shared" si="262"/>
        <v>2.8541097698030735</v>
      </c>
      <c r="G1021" s="7">
        <f>+VLOOKUP(A1021,'Undivideable Expenses'!D$104:AG$201,30,0)</f>
        <v>4441.4399999999996</v>
      </c>
      <c r="H1021" s="7">
        <f t="shared" si="263"/>
        <v>126.76357295994161</v>
      </c>
    </row>
    <row r="1022" spans="1:8" x14ac:dyDescent="0.25">
      <c r="A1022" s="6">
        <v>45918</v>
      </c>
      <c r="B1022" s="12">
        <v>1246.25</v>
      </c>
      <c r="C1022">
        <f>+VLOOKUP(A1022,'Undivideable Expenses'!$D$104:$AH$201,31,0)</f>
        <v>22551.25</v>
      </c>
      <c r="D1022" s="7">
        <f t="shared" si="262"/>
        <v>5.5263012028158087</v>
      </c>
      <c r="G1022" s="7">
        <f>+VLOOKUP(A1022,'Undivideable Expenses'!D$104:AG$201,30,0)</f>
        <v>4633.42</v>
      </c>
      <c r="H1022" s="7">
        <f t="shared" si="263"/>
        <v>256.05674519150824</v>
      </c>
    </row>
    <row r="1023" spans="1:8" x14ac:dyDescent="0.25">
      <c r="A1023" s="6">
        <v>45919</v>
      </c>
      <c r="B1023" s="12">
        <v>55</v>
      </c>
      <c r="C1023">
        <f>+VLOOKUP(A1023,'Undivideable Expenses'!$D$104:$AH$201,31,0)</f>
        <v>23254.17</v>
      </c>
      <c r="D1023" s="7">
        <f t="shared" si="262"/>
        <v>0.23651671936689209</v>
      </c>
      <c r="G1023" s="7">
        <f>+VLOOKUP(A1023,'Undivideable Expenses'!D$104:AG$201,30,0)</f>
        <v>3861.57</v>
      </c>
      <c r="H1023" s="7">
        <f t="shared" si="263"/>
        <v>9.1332586800560964</v>
      </c>
    </row>
    <row r="1025" spans="1:8" x14ac:dyDescent="0.25">
      <c r="A1025" t="s">
        <v>218</v>
      </c>
    </row>
    <row r="1026" spans="1:8" x14ac:dyDescent="0.25">
      <c r="A1026" s="8" t="s">
        <v>6</v>
      </c>
      <c r="B1026" s="8" t="s">
        <v>217</v>
      </c>
      <c r="C1026" s="22" t="s">
        <v>50</v>
      </c>
      <c r="D1026" s="22" t="s">
        <v>9</v>
      </c>
    </row>
    <row r="1027" spans="1:8" x14ac:dyDescent="0.25">
      <c r="A1027" s="6">
        <v>45910</v>
      </c>
      <c r="B1027" s="12">
        <v>856.25</v>
      </c>
      <c r="C1027">
        <f>+VLOOKUP(A1027,'Undivideable Expenses'!$D$104:$AH$201,31,0)</f>
        <v>25830.799999999999</v>
      </c>
      <c r="D1027" s="7">
        <f>+B1027/C1027*100</f>
        <v>3.3148411973303191</v>
      </c>
      <c r="G1027" s="7">
        <f>+VLOOKUP(A1027,'Undivideable Expenses'!D$104:AG$201,30,0)</f>
        <v>4179.7700000000004</v>
      </c>
      <c r="H1027" s="7">
        <f t="shared" ref="H1027" si="264">+G1027/100*D1027</f>
        <v>138.55273791365349</v>
      </c>
    </row>
    <row r="1028" spans="1:8" x14ac:dyDescent="0.25">
      <c r="A1028" s="6">
        <v>45911</v>
      </c>
      <c r="B1028" s="12">
        <v>3047.5751879699246</v>
      </c>
      <c r="C1028">
        <f>+VLOOKUP(A1028,'Undivideable Expenses'!$D$104:$AH$201,31,0)</f>
        <v>26752.45</v>
      </c>
      <c r="D1028" s="7">
        <f t="shared" ref="D1028:D1034" si="265">+B1028/C1028*100</f>
        <v>11.391761083451888</v>
      </c>
      <c r="G1028" s="7">
        <f>+VLOOKUP(A1028,'Undivideable Expenses'!D$104:AG$201,30,0)</f>
        <v>4547.96</v>
      </c>
      <c r="H1028" s="7">
        <f t="shared" ref="H1028:H1034" si="266">+G1028/100*D1028</f>
        <v>518.0927373709585</v>
      </c>
    </row>
    <row r="1029" spans="1:8" x14ac:dyDescent="0.25">
      <c r="A1029" s="6">
        <v>45912</v>
      </c>
      <c r="B1029" s="12">
        <v>5203.75</v>
      </c>
      <c r="C1029">
        <f>+VLOOKUP(A1029,'Undivideable Expenses'!$D$104:$AH$201,31,0)</f>
        <v>25098.19</v>
      </c>
      <c r="D1029" s="7">
        <f t="shared" si="265"/>
        <v>20.733566842867955</v>
      </c>
      <c r="G1029" s="7">
        <f>+VLOOKUP(A1029,'Undivideable Expenses'!D$104:AG$201,30,0)</f>
        <v>4596.2699999999995</v>
      </c>
      <c r="H1029" s="7">
        <f t="shared" si="266"/>
        <v>952.97071272868686</v>
      </c>
    </row>
    <row r="1030" spans="1:8" x14ac:dyDescent="0.25">
      <c r="A1030" s="6">
        <v>45913</v>
      </c>
      <c r="B1030" s="12">
        <v>7511.25</v>
      </c>
      <c r="C1030">
        <f>+VLOOKUP(A1030,'Undivideable Expenses'!$D$104:$AH$201,31,0)</f>
        <v>23180.7</v>
      </c>
      <c r="D1030" s="7">
        <f t="shared" si="265"/>
        <v>32.40303355808927</v>
      </c>
      <c r="G1030" s="7">
        <f>+VLOOKUP(A1030,'Undivideable Expenses'!D$104:AG$201,30,0)</f>
        <v>3633.71</v>
      </c>
      <c r="H1030" s="7">
        <f t="shared" si="266"/>
        <v>1177.4322707036456</v>
      </c>
    </row>
    <row r="1031" spans="1:8" x14ac:dyDescent="0.25">
      <c r="A1031" s="6">
        <v>45915</v>
      </c>
      <c r="B1031" s="12">
        <v>4980.084586466166</v>
      </c>
      <c r="C1031">
        <f>+VLOOKUP(A1031,'Undivideable Expenses'!$D$104:$AH$201,31,0)</f>
        <v>26345.4</v>
      </c>
      <c r="D1031" s="7">
        <f t="shared" si="265"/>
        <v>18.903051714781956</v>
      </c>
      <c r="G1031" s="7">
        <f>+VLOOKUP(A1031,'Undivideable Expenses'!D$104:AG$201,30,0)</f>
        <v>4497.5</v>
      </c>
      <c r="H1031" s="7">
        <f t="shared" si="266"/>
        <v>850.16475087231845</v>
      </c>
    </row>
    <row r="1032" spans="1:8" x14ac:dyDescent="0.25">
      <c r="A1032" s="6">
        <v>45916</v>
      </c>
      <c r="B1032" s="12">
        <v>3095</v>
      </c>
      <c r="C1032">
        <f>+VLOOKUP(A1032,'Undivideable Expenses'!$D$104:$AH$201,31,0)</f>
        <v>26795</v>
      </c>
      <c r="D1032" s="7">
        <f t="shared" si="265"/>
        <v>11.550662437021833</v>
      </c>
      <c r="G1032" s="7">
        <f>+VLOOKUP(A1032,'Undivideable Expenses'!D$104:AG$201,30,0)</f>
        <v>4756.51</v>
      </c>
      <c r="H1032" s="7">
        <f t="shared" si="266"/>
        <v>549.40841388318722</v>
      </c>
    </row>
    <row r="1033" spans="1:8" x14ac:dyDescent="0.25">
      <c r="A1033" s="6">
        <v>45917</v>
      </c>
      <c r="B1033" s="12">
        <v>3327.5</v>
      </c>
      <c r="C1033">
        <f>+VLOOKUP(A1033,'Undivideable Expenses'!$D$104:$AH$201,31,0)</f>
        <v>23606.31</v>
      </c>
      <c r="D1033" s="7">
        <f t="shared" si="265"/>
        <v>14.09580743453763</v>
      </c>
      <c r="G1033" s="7">
        <f>+VLOOKUP(A1033,'Undivideable Expenses'!D$104:AG$201,30,0)</f>
        <v>4441.4399999999996</v>
      </c>
      <c r="H1033" s="7">
        <f t="shared" si="266"/>
        <v>626.05682972052796</v>
      </c>
    </row>
    <row r="1034" spans="1:8" x14ac:dyDescent="0.25">
      <c r="A1034" s="6">
        <v>45918</v>
      </c>
      <c r="B1034" s="12">
        <v>225</v>
      </c>
      <c r="C1034">
        <f>+VLOOKUP(A1034,'Undivideable Expenses'!$D$104:$AH$201,31,0)</f>
        <v>22551.25</v>
      </c>
      <c r="D1034" s="7">
        <f t="shared" si="265"/>
        <v>0.99772739870295435</v>
      </c>
      <c r="G1034" s="7">
        <f>+VLOOKUP(A1034,'Undivideable Expenses'!D$104:AG$201,30,0)</f>
        <v>4633.42</v>
      </c>
      <c r="H1034" s="7">
        <f t="shared" si="266"/>
        <v>46.228900836982433</v>
      </c>
    </row>
    <row r="1036" spans="1:8" x14ac:dyDescent="0.25">
      <c r="A1036" t="s">
        <v>220</v>
      </c>
    </row>
    <row r="1037" spans="1:8" x14ac:dyDescent="0.25">
      <c r="A1037" s="8" t="s">
        <v>6</v>
      </c>
      <c r="B1037" s="8" t="s">
        <v>219</v>
      </c>
      <c r="C1037" s="22" t="s">
        <v>50</v>
      </c>
      <c r="D1037" s="22" t="s">
        <v>9</v>
      </c>
    </row>
    <row r="1038" spans="1:8" x14ac:dyDescent="0.25">
      <c r="A1038" s="6">
        <v>45915</v>
      </c>
      <c r="B1038" s="12">
        <v>4394.0625</v>
      </c>
      <c r="C1038">
        <f>+VLOOKUP(A1038,'Undivideable Expenses'!$D$104:$AH$201,31,0)</f>
        <v>26345.4</v>
      </c>
      <c r="D1038" s="7">
        <f>+B1038/C1038*100</f>
        <v>16.678670659773623</v>
      </c>
      <c r="G1038" s="7">
        <f>+VLOOKUP(A1038,'Undivideable Expenses'!D$104:AG$201,30,0)</f>
        <v>4497.5</v>
      </c>
      <c r="H1038" s="7">
        <f t="shared" ref="H1038:H1040" si="267">+G1038/100*D1038</f>
        <v>750.12321292331876</v>
      </c>
    </row>
    <row r="1039" spans="1:8" x14ac:dyDescent="0.25">
      <c r="A1039" s="6">
        <v>45916</v>
      </c>
      <c r="B1039" s="12">
        <v>5206.25</v>
      </c>
      <c r="C1039">
        <f>+VLOOKUP(A1039,'Undivideable Expenses'!$D$104:$AH$201,31,0)</f>
        <v>26795</v>
      </c>
      <c r="D1039" s="7">
        <f t="shared" ref="D1039:D1040" si="268">+B1039/C1039*100</f>
        <v>19.429930957268144</v>
      </c>
      <c r="G1039" s="7">
        <f>+VLOOKUP(A1039,'Undivideable Expenses'!D$104:AG$201,30,0)</f>
        <v>4756.51</v>
      </c>
      <c r="H1039" s="7">
        <f t="shared" si="267"/>
        <v>924.18660897555503</v>
      </c>
    </row>
    <row r="1040" spans="1:8" x14ac:dyDescent="0.25">
      <c r="A1040" s="6">
        <v>45917</v>
      </c>
      <c r="B1040" s="12">
        <v>3612.5</v>
      </c>
      <c r="C1040">
        <f>+VLOOKUP(A1040,'Undivideable Expenses'!$D$104:$AH$201,31,0)</f>
        <v>23606.31</v>
      </c>
      <c r="D1040" s="7">
        <f t="shared" si="268"/>
        <v>15.303111752747464</v>
      </c>
      <c r="G1040" s="7">
        <f>+VLOOKUP(A1040,'Undivideable Expenses'!D$104:AG$201,30,0)</f>
        <v>4441.4399999999996</v>
      </c>
      <c r="H1040" s="7">
        <f t="shared" si="267"/>
        <v>679.67852663122687</v>
      </c>
    </row>
    <row r="1041" spans="1:8" x14ac:dyDescent="0.25">
      <c r="D1041" s="7"/>
      <c r="G1041" s="7"/>
      <c r="H1041" s="7"/>
    </row>
    <row r="1042" spans="1:8" x14ac:dyDescent="0.25">
      <c r="D1042" s="7"/>
      <c r="G1042" s="7"/>
      <c r="H1042" s="7"/>
    </row>
    <row r="1043" spans="1:8" x14ac:dyDescent="0.25">
      <c r="A1043" t="s">
        <v>221</v>
      </c>
      <c r="D1043" s="7"/>
      <c r="G1043" s="7"/>
      <c r="H1043" s="7"/>
    </row>
    <row r="1044" spans="1:8" x14ac:dyDescent="0.25">
      <c r="A1044" s="8" t="s">
        <v>6</v>
      </c>
      <c r="B1044" s="8" t="s">
        <v>222</v>
      </c>
      <c r="C1044" s="22" t="s">
        <v>50</v>
      </c>
      <c r="D1044" s="22" t="s">
        <v>9</v>
      </c>
    </row>
    <row r="1045" spans="1:8" x14ac:dyDescent="0.25">
      <c r="A1045" s="6">
        <v>45920</v>
      </c>
      <c r="B1045" s="12">
        <v>3827.5</v>
      </c>
      <c r="C1045">
        <f>+VLOOKUP(A1045,'Undivideable Expenses'!$D$104:$AH$201,31,0)</f>
        <v>21410.94</v>
      </c>
      <c r="D1045" s="7">
        <f>+B1045/C1045*100</f>
        <v>17.876375348303252</v>
      </c>
      <c r="G1045" s="7">
        <f>+VLOOKUP(A1045,'Undivideable Expenses'!D$104:AG$201,30,0)</f>
        <v>4413.95</v>
      </c>
      <c r="H1045" s="7">
        <f t="shared" ref="H1045" si="269">+G1045/100*D1045</f>
        <v>789.05426968643133</v>
      </c>
    </row>
    <row r="1046" spans="1:8" x14ac:dyDescent="0.25">
      <c r="A1046" s="6">
        <v>45921</v>
      </c>
      <c r="B1046" s="12">
        <v>4293.333333333333</v>
      </c>
      <c r="C1046">
        <f>+VLOOKUP(A1046,'Undivideable Expenses'!$D$104:$AH$201,31,0)</f>
        <v>17500</v>
      </c>
      <c r="D1046" s="7">
        <f t="shared" ref="D1046:D1050" si="270">+B1046/C1046*100</f>
        <v>24.533333333333331</v>
      </c>
      <c r="G1046" s="7">
        <f>+VLOOKUP(A1046,'Undivideable Expenses'!D$104:AG$201,30,0)</f>
        <v>4082.81</v>
      </c>
      <c r="H1046" s="7">
        <f t="shared" ref="H1046:H1050" si="271">+G1046/100*D1046</f>
        <v>1001.6493866666666</v>
      </c>
    </row>
    <row r="1047" spans="1:8" x14ac:dyDescent="0.25">
      <c r="A1047" s="6">
        <v>45922</v>
      </c>
      <c r="B1047" s="12">
        <v>4948.75</v>
      </c>
      <c r="C1047">
        <f>+VLOOKUP(A1047,'Undivideable Expenses'!$D$104:$AH$201,31,0)</f>
        <v>23698.75</v>
      </c>
      <c r="D1047" s="7">
        <f t="shared" si="270"/>
        <v>20.881903053958542</v>
      </c>
      <c r="G1047" s="7">
        <f>+VLOOKUP(A1047,'Undivideable Expenses'!D$104:AG$201,30,0)</f>
        <v>4528.6099999999997</v>
      </c>
      <c r="H1047" s="7">
        <f t="shared" si="271"/>
        <v>945.65994989187186</v>
      </c>
    </row>
    <row r="1048" spans="1:8" x14ac:dyDescent="0.25">
      <c r="A1048" s="6">
        <v>45923</v>
      </c>
      <c r="B1048" s="12">
        <v>3846.25</v>
      </c>
      <c r="C1048">
        <f>+VLOOKUP(A1048,'Undivideable Expenses'!$D$104:$AH$201,31,0)</f>
        <v>24436.93</v>
      </c>
      <c r="D1048" s="7">
        <f t="shared" si="270"/>
        <v>15.739497555544007</v>
      </c>
      <c r="G1048" s="7">
        <f>+VLOOKUP(A1048,'Undivideable Expenses'!D$104:AG$201,30,0)</f>
        <v>4508.97</v>
      </c>
      <c r="H1048" s="7">
        <f t="shared" si="271"/>
        <v>709.68922293021262</v>
      </c>
    </row>
    <row r="1049" spans="1:8" x14ac:dyDescent="0.25">
      <c r="A1049" s="6">
        <v>45924</v>
      </c>
      <c r="B1049" s="12">
        <v>4487.5</v>
      </c>
      <c r="C1049">
        <f>+VLOOKUP(A1049,'Undivideable Expenses'!$D$104:$AH$201,31,0)</f>
        <v>24463.5</v>
      </c>
      <c r="D1049" s="7">
        <f t="shared" si="270"/>
        <v>18.343654832709955</v>
      </c>
      <c r="G1049" s="7">
        <f>+VLOOKUP(A1049,'Undivideable Expenses'!D$104:AG$201,30,0)</f>
        <v>3936.63</v>
      </c>
      <c r="H1049" s="7">
        <f t="shared" si="271"/>
        <v>722.12181924090999</v>
      </c>
    </row>
    <row r="1050" spans="1:8" x14ac:dyDescent="0.25">
      <c r="A1050" s="6">
        <v>45925</v>
      </c>
      <c r="B1050" s="12">
        <v>1596.25</v>
      </c>
      <c r="C1050">
        <f>+VLOOKUP(A1050,'Undivideable Expenses'!$D$104:$AH$201,31,0)</f>
        <v>24938.75</v>
      </c>
      <c r="D1050" s="7">
        <f t="shared" si="270"/>
        <v>6.4006816700917248</v>
      </c>
      <c r="G1050" s="7">
        <f>+VLOOKUP(A1050,'Undivideable Expenses'!D$104:AG$201,30,0)</f>
        <v>3941.13</v>
      </c>
      <c r="H1050" s="7">
        <f t="shared" si="271"/>
        <v>252.25918550448603</v>
      </c>
    </row>
    <row r="1052" spans="1:8" x14ac:dyDescent="0.25">
      <c r="A1052" t="s">
        <v>223</v>
      </c>
    </row>
    <row r="1053" spans="1:8" x14ac:dyDescent="0.25">
      <c r="A1053" s="8" t="s">
        <v>6</v>
      </c>
      <c r="B1053" s="8" t="s">
        <v>224</v>
      </c>
      <c r="C1053" s="22" t="s">
        <v>50</v>
      </c>
      <c r="D1053" s="22" t="s">
        <v>9</v>
      </c>
    </row>
    <row r="1054" spans="1:8" x14ac:dyDescent="0.25">
      <c r="A1054" s="6">
        <v>45916</v>
      </c>
      <c r="B1054" s="12">
        <v>1213.75</v>
      </c>
      <c r="C1054">
        <f>+VLOOKUP(A1054,'Undivideable Expenses'!$D$104:$AH$201,31,0)</f>
        <v>26795</v>
      </c>
      <c r="D1054" s="7">
        <f>+B1054/C1054*100</f>
        <v>4.5297630154879638</v>
      </c>
      <c r="G1054" s="7">
        <f>+VLOOKUP(A1054,'Undivideable Expenses'!D$104:AG$201,30,0)</f>
        <v>4756.51</v>
      </c>
      <c r="H1054" s="7">
        <f t="shared" ref="H1054" si="272">+G1054/100*D1054</f>
        <v>215.45863080798654</v>
      </c>
    </row>
    <row r="1055" spans="1:8" x14ac:dyDescent="0.25">
      <c r="A1055" s="6">
        <v>45917</v>
      </c>
      <c r="B1055" s="12">
        <v>895</v>
      </c>
      <c r="C1055">
        <f>+VLOOKUP(A1055,'Undivideable Expenses'!$D$104:$AH$201,31,0)</f>
        <v>23606.31</v>
      </c>
      <c r="D1055" s="7">
        <f t="shared" ref="D1055:D1063" si="273">+B1055/C1055*100</f>
        <v>3.7913591747291293</v>
      </c>
      <c r="G1055" s="7">
        <f>+VLOOKUP(A1055,'Undivideable Expenses'!D$104:AG$201,30,0)</f>
        <v>4441.4399999999996</v>
      </c>
      <c r="H1055" s="7">
        <f t="shared" ref="H1055:H1063" si="274">+G1055/100*D1055</f>
        <v>168.39094293008941</v>
      </c>
    </row>
    <row r="1056" spans="1:8" x14ac:dyDescent="0.25">
      <c r="A1056" s="6">
        <v>45918</v>
      </c>
      <c r="B1056" s="12">
        <v>3337.5</v>
      </c>
      <c r="C1056">
        <f>+VLOOKUP(A1056,'Undivideable Expenses'!$D$104:$AH$201,31,0)</f>
        <v>22551.25</v>
      </c>
      <c r="D1056" s="7">
        <f t="shared" si="273"/>
        <v>14.79962308076049</v>
      </c>
      <c r="G1056" s="7">
        <f>+VLOOKUP(A1056,'Undivideable Expenses'!D$104:AG$201,30,0)</f>
        <v>4633.42</v>
      </c>
      <c r="H1056" s="7">
        <f t="shared" si="274"/>
        <v>685.7286957485727</v>
      </c>
    </row>
    <row r="1057" spans="1:8" x14ac:dyDescent="0.25">
      <c r="A1057" s="6">
        <v>45919</v>
      </c>
      <c r="B1057" s="12">
        <v>1096.25</v>
      </c>
      <c r="C1057">
        <f>+VLOOKUP(A1057,'Undivideable Expenses'!$D$104:$AH$201,31,0)</f>
        <v>23254.17</v>
      </c>
      <c r="D1057" s="7">
        <f t="shared" si="273"/>
        <v>4.7142082473810074</v>
      </c>
      <c r="G1057" s="7">
        <f>+VLOOKUP(A1057,'Undivideable Expenses'!D$104:AG$201,30,0)</f>
        <v>3861.57</v>
      </c>
      <c r="H1057" s="7">
        <f t="shared" si="274"/>
        <v>182.04245141839078</v>
      </c>
    </row>
    <row r="1058" spans="1:8" x14ac:dyDescent="0.25">
      <c r="A1058" s="6">
        <v>45920</v>
      </c>
      <c r="B1058" s="12">
        <v>3561.25</v>
      </c>
      <c r="C1058">
        <f>+VLOOKUP(A1058,'Undivideable Expenses'!$D$104:$AH$201,31,0)</f>
        <v>21410.94</v>
      </c>
      <c r="D1058" s="7">
        <f t="shared" si="273"/>
        <v>16.632852177438266</v>
      </c>
      <c r="G1058" s="7">
        <f>+VLOOKUP(A1058,'Undivideable Expenses'!D$104:AG$201,30,0)</f>
        <v>4413.95</v>
      </c>
      <c r="H1058" s="7">
        <f t="shared" si="274"/>
        <v>734.16577868603633</v>
      </c>
    </row>
    <row r="1059" spans="1:8" x14ac:dyDescent="0.25">
      <c r="A1059" s="6">
        <v>45921</v>
      </c>
      <c r="B1059" s="12">
        <v>3065</v>
      </c>
      <c r="C1059">
        <f>+VLOOKUP(A1059,'Undivideable Expenses'!$D$104:$AH$201,31,0)</f>
        <v>17500</v>
      </c>
      <c r="D1059" s="7">
        <f t="shared" si="273"/>
        <v>17.514285714285716</v>
      </c>
      <c r="G1059" s="7">
        <f>+VLOOKUP(A1059,'Undivideable Expenses'!D$104:AG$201,30,0)</f>
        <v>4082.81</v>
      </c>
      <c r="H1059" s="7">
        <f t="shared" si="274"/>
        <v>715.07500857142861</v>
      </c>
    </row>
    <row r="1060" spans="1:8" x14ac:dyDescent="0.25">
      <c r="A1060" s="6">
        <v>45922</v>
      </c>
      <c r="B1060" s="12">
        <v>4198.75</v>
      </c>
      <c r="C1060">
        <f>+VLOOKUP(A1060,'Undivideable Expenses'!$D$104:$AH$201,31,0)</f>
        <v>23698.75</v>
      </c>
      <c r="D1060" s="7">
        <f t="shared" si="273"/>
        <v>17.717179176116886</v>
      </c>
      <c r="G1060" s="7">
        <f>+VLOOKUP(A1060,'Undivideable Expenses'!D$104:AG$201,30,0)</f>
        <v>4528.6099999999997</v>
      </c>
      <c r="H1060" s="7">
        <f t="shared" si="274"/>
        <v>802.34194788754689</v>
      </c>
    </row>
    <row r="1061" spans="1:8" x14ac:dyDescent="0.25">
      <c r="A1061" s="6">
        <v>45923</v>
      </c>
      <c r="B1061" s="12">
        <v>3770</v>
      </c>
      <c r="C1061">
        <f>+VLOOKUP(A1061,'Undivideable Expenses'!$D$104:$AH$201,31,0)</f>
        <v>24436.93</v>
      </c>
      <c r="D1061" s="7">
        <f t="shared" si="273"/>
        <v>15.427469817198805</v>
      </c>
      <c r="G1061" s="7">
        <f>+VLOOKUP(A1061,'Undivideable Expenses'!D$104:AG$201,30,0)</f>
        <v>4508.97</v>
      </c>
      <c r="H1061" s="7">
        <f t="shared" si="274"/>
        <v>695.61998581654893</v>
      </c>
    </row>
    <row r="1062" spans="1:8" x14ac:dyDescent="0.25">
      <c r="A1062" s="6">
        <v>45924</v>
      </c>
      <c r="B1062" s="12">
        <v>406.25</v>
      </c>
      <c r="C1062">
        <f>+VLOOKUP(A1062,'Undivideable Expenses'!$D$104:$AH$201,31,0)</f>
        <v>24463.5</v>
      </c>
      <c r="D1062" s="7">
        <f t="shared" si="273"/>
        <v>1.660637275941709</v>
      </c>
      <c r="G1062" s="7">
        <f>+VLOOKUP(A1062,'Undivideable Expenses'!D$104:AG$201,30,0)</f>
        <v>3936.63</v>
      </c>
      <c r="H1062" s="7">
        <f t="shared" si="274"/>
        <v>65.373145195904101</v>
      </c>
    </row>
    <row r="1063" spans="1:8" x14ac:dyDescent="0.25">
      <c r="A1063" s="6">
        <v>45926</v>
      </c>
      <c r="B1063" s="12">
        <v>315</v>
      </c>
      <c r="C1063">
        <f>+VLOOKUP(A1063,'Undivideable Expenses'!$D$104:$AH$201,31,0)</f>
        <v>24910.49</v>
      </c>
      <c r="D1063" s="7">
        <f t="shared" si="273"/>
        <v>1.2645275143122434</v>
      </c>
      <c r="G1063" s="7">
        <f>+VLOOKUP(A1063,'Undivideable Expenses'!D$104:AG$201,30,0)</f>
        <v>3930.78</v>
      </c>
      <c r="H1063" s="7">
        <f t="shared" si="274"/>
        <v>49.705794627082803</v>
      </c>
    </row>
    <row r="1065" spans="1:8" x14ac:dyDescent="0.25">
      <c r="A1065" t="s">
        <v>226</v>
      </c>
    </row>
    <row r="1066" spans="1:8" x14ac:dyDescent="0.25">
      <c r="A1066" s="8" t="s">
        <v>6</v>
      </c>
      <c r="B1066" s="8" t="s">
        <v>225</v>
      </c>
      <c r="C1066" s="22" t="s">
        <v>50</v>
      </c>
      <c r="D1066" s="22" t="s">
        <v>9</v>
      </c>
    </row>
    <row r="1067" spans="1:8" x14ac:dyDescent="0.25">
      <c r="A1067" s="6">
        <v>45916</v>
      </c>
      <c r="B1067" s="12">
        <v>3458.75</v>
      </c>
      <c r="C1067">
        <f>+VLOOKUP(A1067,'Undivideable Expenses'!$D$104:$AH$201,31,0)</f>
        <v>26795</v>
      </c>
      <c r="D1067" s="7">
        <f>+B1067/C1067*100</f>
        <v>12.908191826833365</v>
      </c>
      <c r="G1067" s="7">
        <f>+VLOOKUP(A1067,'Undivideable Expenses'!D$104:AG$201,30,0)</f>
        <v>4756.51</v>
      </c>
      <c r="H1067" s="7">
        <f t="shared" ref="H1067" si="275">+G1067/100*D1067</f>
        <v>613.9794350625117</v>
      </c>
    </row>
    <row r="1068" spans="1:8" x14ac:dyDescent="0.25">
      <c r="A1068" s="6">
        <v>45917</v>
      </c>
      <c r="B1068" s="12">
        <v>4180</v>
      </c>
      <c r="C1068">
        <f>+VLOOKUP(A1068,'Undivideable Expenses'!$D$104:$AH$201,31,0)</f>
        <v>23606.31</v>
      </c>
      <c r="D1068" s="7">
        <f t="shared" ref="D1068:D1073" si="276">+B1068/C1068*100</f>
        <v>17.707130000410906</v>
      </c>
      <c r="G1068" s="7">
        <f>+VLOOKUP(A1068,'Undivideable Expenses'!D$104:AG$201,30,0)</f>
        <v>4441.4399999999996</v>
      </c>
      <c r="H1068" s="7">
        <f t="shared" ref="H1068:H1073" si="277">+G1068/100*D1068</f>
        <v>786.45155469025008</v>
      </c>
    </row>
    <row r="1069" spans="1:8" x14ac:dyDescent="0.25">
      <c r="A1069" s="6">
        <v>45918</v>
      </c>
      <c r="B1069" s="12">
        <v>3691.25</v>
      </c>
      <c r="C1069">
        <f>+VLOOKUP(A1069,'Undivideable Expenses'!$D$104:$AH$201,31,0)</f>
        <v>22551.25</v>
      </c>
      <c r="D1069" s="7">
        <f t="shared" si="276"/>
        <v>16.368272268721245</v>
      </c>
      <c r="G1069" s="7">
        <f>+VLOOKUP(A1069,'Undivideable Expenses'!D$104:AG$201,30,0)</f>
        <v>4633.42</v>
      </c>
      <c r="H1069" s="7">
        <f t="shared" si="277"/>
        <v>758.41080095338395</v>
      </c>
    </row>
    <row r="1070" spans="1:8" x14ac:dyDescent="0.25">
      <c r="A1070" s="6">
        <v>45919</v>
      </c>
      <c r="B1070" s="12">
        <v>4249.1729323308273</v>
      </c>
      <c r="C1070">
        <f>+VLOOKUP(A1070,'Undivideable Expenses'!$D$104:$AH$201,31,0)</f>
        <v>23254.17</v>
      </c>
      <c r="D1070" s="7">
        <f t="shared" si="276"/>
        <v>18.272735308681529</v>
      </c>
      <c r="G1070" s="7">
        <f>+VLOOKUP(A1070,'Undivideable Expenses'!D$104:AG$201,30,0)</f>
        <v>3861.57</v>
      </c>
      <c r="H1070" s="7">
        <f t="shared" si="277"/>
        <v>705.61446485945339</v>
      </c>
    </row>
    <row r="1071" spans="1:8" x14ac:dyDescent="0.25">
      <c r="A1071" s="6">
        <v>45920</v>
      </c>
      <c r="B1071" s="12">
        <v>1823.75</v>
      </c>
      <c r="C1071">
        <f>+VLOOKUP(A1071,'Undivideable Expenses'!$D$104:$AH$201,31,0)</f>
        <v>21410.94</v>
      </c>
      <c r="D1071" s="7">
        <f t="shared" si="276"/>
        <v>8.5178418135775456</v>
      </c>
      <c r="G1071" s="7">
        <f>+VLOOKUP(A1071,'Undivideable Expenses'!D$104:AG$201,30,0)</f>
        <v>4413.95</v>
      </c>
      <c r="H1071" s="7">
        <f t="shared" si="277"/>
        <v>375.97327873040604</v>
      </c>
    </row>
    <row r="1072" spans="1:8" x14ac:dyDescent="0.25">
      <c r="A1072" s="6">
        <v>45922</v>
      </c>
      <c r="B1072" s="12">
        <v>82.5</v>
      </c>
      <c r="C1072">
        <f>+VLOOKUP(A1072,'Undivideable Expenses'!$D$104:$AH$201,31,0)</f>
        <v>23698.75</v>
      </c>
      <c r="D1072" s="7">
        <f t="shared" si="276"/>
        <v>0.34811962656258238</v>
      </c>
      <c r="G1072" s="7">
        <f>+VLOOKUP(A1072,'Undivideable Expenses'!D$104:AG$201,30,0)</f>
        <v>4528.6099999999997</v>
      </c>
      <c r="H1072" s="7">
        <f t="shared" si="277"/>
        <v>15.764980220475762</v>
      </c>
    </row>
    <row r="1073" spans="1:8" x14ac:dyDescent="0.25">
      <c r="A1073" s="6">
        <v>45923</v>
      </c>
      <c r="B1073" s="12">
        <v>176.25</v>
      </c>
      <c r="C1073">
        <f>+VLOOKUP(A1073,'Undivideable Expenses'!$D$104:$AH$201,31,0)</f>
        <v>24436.93</v>
      </c>
      <c r="D1073" s="7">
        <f t="shared" si="276"/>
        <v>0.72124444437169477</v>
      </c>
      <c r="G1073" s="7">
        <f>+VLOOKUP(A1073,'Undivideable Expenses'!D$104:AG$201,30,0)</f>
        <v>4508.97</v>
      </c>
      <c r="H1073" s="7">
        <f t="shared" si="277"/>
        <v>32.520695623386409</v>
      </c>
    </row>
    <row r="1075" spans="1:8" x14ac:dyDescent="0.25">
      <c r="A1075" t="s">
        <v>227</v>
      </c>
    </row>
    <row r="1076" spans="1:8" x14ac:dyDescent="0.25">
      <c r="A1076" s="8" t="s">
        <v>6</v>
      </c>
      <c r="B1076" s="8" t="s">
        <v>227</v>
      </c>
      <c r="C1076" s="22" t="s">
        <v>50</v>
      </c>
      <c r="D1076" s="22" t="s">
        <v>9</v>
      </c>
    </row>
    <row r="1077" spans="1:8" x14ac:dyDescent="0.25">
      <c r="A1077" s="6">
        <v>45918</v>
      </c>
      <c r="B1077" s="12">
        <v>282.5</v>
      </c>
      <c r="C1077">
        <f>+VLOOKUP(A1077,'Undivideable Expenses'!$D$104:$AH$201,31,0)</f>
        <v>22551.25</v>
      </c>
      <c r="D1077" s="7">
        <f>+B1077/C1077*100</f>
        <v>1.2527021783714871</v>
      </c>
      <c r="G1077" s="7">
        <f>+VLOOKUP(A1077,'Undivideable Expenses'!D$104:AG$201,30,0)</f>
        <v>4633.42</v>
      </c>
      <c r="H1077" s="7">
        <f t="shared" ref="H1077" si="278">+G1077/100*D1077</f>
        <v>58.04295327310016</v>
      </c>
    </row>
    <row r="1078" spans="1:8" x14ac:dyDescent="0.25">
      <c r="A1078" s="6">
        <v>45919</v>
      </c>
      <c r="B1078" s="12">
        <v>4415</v>
      </c>
      <c r="C1078">
        <f>+VLOOKUP(A1078,'Undivideable Expenses'!$D$104:$AH$201,31,0)</f>
        <v>23254.17</v>
      </c>
      <c r="D1078" s="7">
        <f t="shared" ref="D1078:D1085" si="279">+B1078/C1078*100</f>
        <v>18.985842109178698</v>
      </c>
      <c r="G1078" s="7">
        <f>+VLOOKUP(A1078,'Undivideable Expenses'!D$104:AG$201,30,0)</f>
        <v>3861.57</v>
      </c>
      <c r="H1078" s="7">
        <f t="shared" ref="H1078:H1085" si="280">+G1078/100*D1078</f>
        <v>733.1515831354119</v>
      </c>
    </row>
    <row r="1079" spans="1:8" x14ac:dyDescent="0.25">
      <c r="A1079" s="6">
        <v>45920</v>
      </c>
      <c r="B1079" s="12">
        <v>4382.5</v>
      </c>
      <c r="C1079">
        <f>+VLOOKUP(A1079,'Undivideable Expenses'!$D$104:$AH$201,31,0)</f>
        <v>21410.94</v>
      </c>
      <c r="D1079" s="7">
        <f t="shared" si="279"/>
        <v>20.46850815517675</v>
      </c>
      <c r="G1079" s="7">
        <f>+VLOOKUP(A1079,'Undivideable Expenses'!D$104:AG$201,30,0)</f>
        <v>4413.95</v>
      </c>
      <c r="H1079" s="7">
        <f t="shared" si="280"/>
        <v>903.46971571542406</v>
      </c>
    </row>
    <row r="1080" spans="1:8" x14ac:dyDescent="0.25">
      <c r="A1080" s="6">
        <v>45921</v>
      </c>
      <c r="B1080" s="12">
        <v>5616.666666666667</v>
      </c>
      <c r="C1080">
        <f>+VLOOKUP(A1080,'Undivideable Expenses'!$D$104:$AH$201,31,0)</f>
        <v>17500</v>
      </c>
      <c r="D1080" s="7">
        <f t="shared" si="279"/>
        <v>32.095238095238102</v>
      </c>
      <c r="G1080" s="7">
        <f>+VLOOKUP(A1080,'Undivideable Expenses'!D$104:AG$201,30,0)</f>
        <v>4082.81</v>
      </c>
      <c r="H1080" s="7">
        <f t="shared" si="280"/>
        <v>1310.3875904761908</v>
      </c>
    </row>
    <row r="1081" spans="1:8" x14ac:dyDescent="0.25">
      <c r="A1081" s="6">
        <v>45922</v>
      </c>
      <c r="B1081" s="12">
        <v>4981.25</v>
      </c>
      <c r="C1081">
        <f>+VLOOKUP(A1081,'Undivideable Expenses'!$D$104:$AH$201,31,0)</f>
        <v>23698.75</v>
      </c>
      <c r="D1081" s="7">
        <f t="shared" si="279"/>
        <v>21.019041088665013</v>
      </c>
      <c r="G1081" s="7">
        <f>+VLOOKUP(A1081,'Undivideable Expenses'!D$104:AG$201,30,0)</f>
        <v>4528.6099999999997</v>
      </c>
      <c r="H1081" s="7">
        <f t="shared" si="280"/>
        <v>951.87039664539259</v>
      </c>
    </row>
    <row r="1082" spans="1:8" x14ac:dyDescent="0.25">
      <c r="A1082" s="6">
        <v>45923</v>
      </c>
      <c r="B1082" s="12">
        <v>2275</v>
      </c>
      <c r="C1082">
        <f>+VLOOKUP(A1082,'Undivideable Expenses'!$D$104:$AH$201,31,0)</f>
        <v>24436.93</v>
      </c>
      <c r="D1082" s="7">
        <f t="shared" si="279"/>
        <v>9.3096800621027285</v>
      </c>
      <c r="G1082" s="7">
        <f>+VLOOKUP(A1082,'Undivideable Expenses'!D$104:AG$201,30,0)</f>
        <v>4508.97</v>
      </c>
      <c r="H1082" s="7">
        <f t="shared" si="280"/>
        <v>419.77068109619341</v>
      </c>
    </row>
    <row r="1083" spans="1:8" x14ac:dyDescent="0.25">
      <c r="A1083" s="6">
        <v>45924</v>
      </c>
      <c r="B1083" s="12">
        <v>8067.5</v>
      </c>
      <c r="C1083">
        <f>+VLOOKUP(A1083,'Undivideable Expenses'!$D$104:$AH$201,31,0)</f>
        <v>24463.5</v>
      </c>
      <c r="D1083" s="7">
        <f t="shared" si="279"/>
        <v>32.977701473623974</v>
      </c>
      <c r="G1083" s="7">
        <f>+VLOOKUP(A1083,'Undivideable Expenses'!D$104:AG$201,30,0)</f>
        <v>3936.63</v>
      </c>
      <c r="H1083" s="7">
        <f t="shared" si="280"/>
        <v>1298.2100895211236</v>
      </c>
    </row>
    <row r="1084" spans="1:8" x14ac:dyDescent="0.25">
      <c r="A1084" s="6">
        <v>45925</v>
      </c>
      <c r="B1084" s="12">
        <v>8363.75</v>
      </c>
      <c r="C1084">
        <f>+VLOOKUP(A1084,'Undivideable Expenses'!$D$104:$AH$201,31,0)</f>
        <v>24938.75</v>
      </c>
      <c r="D1084" s="7">
        <f t="shared" si="279"/>
        <v>33.537166056839254</v>
      </c>
      <c r="G1084" s="7">
        <f>+VLOOKUP(A1084,'Undivideable Expenses'!D$104:AG$201,30,0)</f>
        <v>3941.13</v>
      </c>
      <c r="H1084" s="7">
        <f t="shared" si="280"/>
        <v>1321.743312615909</v>
      </c>
    </row>
    <row r="1085" spans="1:8" x14ac:dyDescent="0.25">
      <c r="A1085" s="6">
        <v>45926</v>
      </c>
      <c r="B1085" s="12">
        <v>2678.75</v>
      </c>
      <c r="C1085">
        <f>+VLOOKUP(A1085,'Undivideable Expenses'!$D$104:$AH$201,31,0)</f>
        <v>24910.49</v>
      </c>
      <c r="D1085" s="7">
        <f t="shared" si="279"/>
        <v>10.753501837980705</v>
      </c>
      <c r="G1085" s="7">
        <f>+VLOOKUP(A1085,'Undivideable Expenses'!D$104:AG$201,30,0)</f>
        <v>3930.78</v>
      </c>
      <c r="H1085" s="7">
        <f t="shared" si="280"/>
        <v>422.69649954697798</v>
      </c>
    </row>
    <row r="1087" spans="1:8" x14ac:dyDescent="0.25">
      <c r="A1087" t="s">
        <v>228</v>
      </c>
    </row>
    <row r="1088" spans="1:8" x14ac:dyDescent="0.25">
      <c r="A1088" s="8" t="s">
        <v>6</v>
      </c>
      <c r="B1088" s="8" t="s">
        <v>228</v>
      </c>
      <c r="C1088" s="22" t="s">
        <v>50</v>
      </c>
      <c r="D1088" s="22" t="s">
        <v>9</v>
      </c>
    </row>
    <row r="1089" spans="1:14" x14ac:dyDescent="0.25">
      <c r="A1089" s="6">
        <v>45922</v>
      </c>
      <c r="B1089" s="12">
        <v>312.5</v>
      </c>
      <c r="C1089">
        <f>+VLOOKUP(A1089,'Undivideable Expenses'!$D$104:$AH$201,31,0)</f>
        <v>23698.75</v>
      </c>
      <c r="D1089" s="7">
        <f>+B1089/C1089*100</f>
        <v>1.318634949100691</v>
      </c>
      <c r="G1089" s="7">
        <f>+VLOOKUP(A1089,'Undivideable Expenses'!D$104:AG$201,30,0)</f>
        <v>4528.6099999999997</v>
      </c>
      <c r="H1089" s="7">
        <f t="shared" ref="H1089" si="281">+G1089/100*D1089</f>
        <v>59.715834168468803</v>
      </c>
    </row>
    <row r="1090" spans="1:14" x14ac:dyDescent="0.25">
      <c r="A1090" s="6">
        <v>45923</v>
      </c>
      <c r="B1090" s="12">
        <v>787.5</v>
      </c>
      <c r="C1090">
        <f>+VLOOKUP(A1090,'Undivideable Expenses'!$D$104:$AH$201,31,0)</f>
        <v>24436.93</v>
      </c>
      <c r="D1090" s="7">
        <f t="shared" ref="D1090:D1093" si="282">+B1090/C1090*100</f>
        <v>3.2225815599586363</v>
      </c>
      <c r="G1090" s="7">
        <f>+VLOOKUP(A1090,'Undivideable Expenses'!D$104:AG$201,30,0)</f>
        <v>4508.97</v>
      </c>
      <c r="H1090" s="7">
        <f t="shared" ref="H1090:H1093" si="283">+G1090/100*D1090</f>
        <v>145.30523576406694</v>
      </c>
    </row>
    <row r="1091" spans="1:14" x14ac:dyDescent="0.25">
      <c r="A1091" s="6">
        <v>45924</v>
      </c>
      <c r="B1091" s="12">
        <v>1180</v>
      </c>
      <c r="C1091">
        <f>+VLOOKUP(A1091,'Undivideable Expenses'!$D$104:$AH$201,31,0)</f>
        <v>24463.5</v>
      </c>
      <c r="D1091" s="7">
        <f t="shared" si="282"/>
        <v>4.8235125799660716</v>
      </c>
      <c r="G1091" s="7">
        <f>+VLOOKUP(A1091,'Undivideable Expenses'!D$104:AG$201,30,0)</f>
        <v>3936.63</v>
      </c>
      <c r="H1091" s="7">
        <f t="shared" si="283"/>
        <v>189.88384327671838</v>
      </c>
    </row>
    <row r="1092" spans="1:14" x14ac:dyDescent="0.25">
      <c r="A1092" s="6">
        <v>45925</v>
      </c>
      <c r="B1092" s="12">
        <v>2011.25</v>
      </c>
      <c r="C1092">
        <f>+VLOOKUP(A1092,'Undivideable Expenses'!$D$104:$AH$201,31,0)</f>
        <v>24938.75</v>
      </c>
      <c r="D1092" s="7">
        <f t="shared" si="282"/>
        <v>8.0647586587138491</v>
      </c>
      <c r="G1092" s="7">
        <f>+VLOOKUP(A1092,'Undivideable Expenses'!D$104:AG$201,30,0)</f>
        <v>3941.13</v>
      </c>
      <c r="H1092" s="7">
        <f t="shared" si="283"/>
        <v>317.84262292616916</v>
      </c>
    </row>
    <row r="1093" spans="1:14" x14ac:dyDescent="0.25">
      <c r="A1093" s="6">
        <v>45927</v>
      </c>
      <c r="B1093" s="12">
        <v>797.5</v>
      </c>
      <c r="C1093">
        <f>+VLOOKUP(A1093,'Undivideable Expenses'!$D$104:$AH$201,31,0)</f>
        <v>20695.939999999999</v>
      </c>
      <c r="D1093" s="7">
        <f t="shared" si="282"/>
        <v>3.8534127949733139</v>
      </c>
      <c r="G1093" s="7">
        <f>+VLOOKUP(A1093,'Undivideable Expenses'!D$104:AG$201,30,0)</f>
        <v>3031.71</v>
      </c>
      <c r="H1093" s="7">
        <f t="shared" si="283"/>
        <v>116.82430104648546</v>
      </c>
    </row>
    <row r="1095" spans="1:14" x14ac:dyDescent="0.25">
      <c r="A1095" t="s">
        <v>229</v>
      </c>
    </row>
    <row r="1096" spans="1:14" x14ac:dyDescent="0.25">
      <c r="A1096" s="8" t="s">
        <v>6</v>
      </c>
      <c r="B1096" s="8" t="s">
        <v>229</v>
      </c>
      <c r="C1096" s="22" t="s">
        <v>50</v>
      </c>
      <c r="D1096" s="22" t="s">
        <v>9</v>
      </c>
    </row>
    <row r="1097" spans="1:14" x14ac:dyDescent="0.25">
      <c r="A1097" s="6">
        <v>45936</v>
      </c>
      <c r="B1097" s="7">
        <v>1101.25</v>
      </c>
      <c r="C1097">
        <f>+VLOOKUP(A1097,'Undivideable Expenses'!$D$104:$AH$201,31,0)</f>
        <v>17012.5</v>
      </c>
      <c r="D1097" s="7">
        <f>+B1097/C1097*100</f>
        <v>6.4731814842027919</v>
      </c>
      <c r="G1097" s="7">
        <f>+VLOOKUP(A1097,'Undivideable Expenses'!D$104:AG$201,30,0)</f>
        <v>2950.3319607843141</v>
      </c>
      <c r="H1097" s="7">
        <f t="shared" ref="H1097" si="284">+G1097/100*D1097</f>
        <v>190.98034220800741</v>
      </c>
    </row>
    <row r="1098" spans="1:14" x14ac:dyDescent="0.25">
      <c r="A1098" s="6">
        <v>45937</v>
      </c>
      <c r="B1098" s="7">
        <v>5292.5</v>
      </c>
      <c r="C1098">
        <f>+VLOOKUP(A1098,'Undivideable Expenses'!$D$104:$AH$201,31,0)</f>
        <v>21800</v>
      </c>
      <c r="D1098" s="7">
        <f t="shared" ref="D1098:D1100" si="285">+B1098/C1098*100</f>
        <v>24.277522935779817</v>
      </c>
      <c r="G1098" s="7">
        <f>+VLOOKUP(A1098,'Undivideable Expenses'!D$104:AG$201,30,0)</f>
        <v>3333.5290196078427</v>
      </c>
      <c r="H1098" s="7">
        <f t="shared" ref="H1098:H1100" si="286">+G1098/100*D1098</f>
        <v>809.29827230617002</v>
      </c>
      <c r="N1098">
        <v>500</v>
      </c>
    </row>
    <row r="1099" spans="1:14" x14ac:dyDescent="0.25">
      <c r="A1099" s="6">
        <v>45938</v>
      </c>
      <c r="B1099" s="7">
        <v>3179.3810952738186</v>
      </c>
      <c r="C1099">
        <f>+VLOOKUP(A1099,'Undivideable Expenses'!$D$104:$AH$201,31,0)</f>
        <v>22083.14</v>
      </c>
      <c r="D1099" s="7">
        <f t="shared" si="285"/>
        <v>14.39732345705284</v>
      </c>
      <c r="G1099" s="7">
        <f>+VLOOKUP(A1099,'Undivideable Expenses'!D$104:AG$201,30,0)</f>
        <v>3614.8539215686278</v>
      </c>
      <c r="H1099" s="7">
        <f t="shared" si="286"/>
        <v>520.44221158819448</v>
      </c>
      <c r="M1099">
        <v>20</v>
      </c>
      <c r="N1099">
        <f>+N1098/M1099</f>
        <v>25</v>
      </c>
    </row>
    <row r="1100" spans="1:14" x14ac:dyDescent="0.25">
      <c r="A1100" s="6">
        <v>45939</v>
      </c>
      <c r="B1100" s="7">
        <v>367.5</v>
      </c>
      <c r="C1100">
        <f>+VLOOKUP(A1100,'Undivideable Expenses'!$D$104:$AH$201,31,0)</f>
        <v>22478.76</v>
      </c>
      <c r="D1100" s="7">
        <f t="shared" si="285"/>
        <v>1.6348766568974449</v>
      </c>
      <c r="G1100" s="7">
        <f>+VLOOKUP(A1100,'Undivideable Expenses'!D$104:AG$201,30,0)</f>
        <v>3445.8135294117646</v>
      </c>
      <c r="H1100" s="7">
        <f t="shared" si="286"/>
        <v>56.334801032566908</v>
      </c>
      <c r="M1100">
        <v>20</v>
      </c>
      <c r="N1100">
        <v>25</v>
      </c>
    </row>
    <row r="1101" spans="1:14" x14ac:dyDescent="0.25">
      <c r="M1101">
        <v>20</v>
      </c>
      <c r="N1101">
        <v>25</v>
      </c>
    </row>
    <row r="1102" spans="1:14" x14ac:dyDescent="0.25">
      <c r="A1102" t="s">
        <v>230</v>
      </c>
      <c r="L1102">
        <v>5</v>
      </c>
      <c r="M1102">
        <v>20</v>
      </c>
      <c r="N1102">
        <v>25</v>
      </c>
    </row>
    <row r="1103" spans="1:14" x14ac:dyDescent="0.25">
      <c r="A1103" s="8" t="s">
        <v>6</v>
      </c>
      <c r="B1103" s="8" t="s">
        <v>230</v>
      </c>
      <c r="C1103" s="22" t="s">
        <v>50</v>
      </c>
      <c r="D1103" s="22" t="s">
        <v>9</v>
      </c>
      <c r="M1103">
        <v>20</v>
      </c>
      <c r="N1103">
        <v>25</v>
      </c>
    </row>
    <row r="1104" spans="1:14" x14ac:dyDescent="0.25">
      <c r="A1104" s="6">
        <v>45933</v>
      </c>
      <c r="B1104" s="7">
        <v>230</v>
      </c>
      <c r="C1104">
        <f>+VLOOKUP(A1104,'Undivideable Expenses'!$D$104:$AH$201,31,0)</f>
        <v>18936.25</v>
      </c>
      <c r="D1104" s="7">
        <f>+B1104/C1104*100</f>
        <v>1.2146016238695623</v>
      </c>
      <c r="G1104" s="7">
        <f>+VLOOKUP(A1104,'Undivideable Expenses'!D$104:AG$201,30,0)</f>
        <v>3840.6227450980391</v>
      </c>
      <c r="H1104" s="7">
        <f t="shared" ref="H1104" si="287">+G1104/100*D1104</f>
        <v>46.648266228664539</v>
      </c>
    </row>
    <row r="1105" spans="1:8" x14ac:dyDescent="0.25">
      <c r="A1105" s="6">
        <v>45934</v>
      </c>
      <c r="B1105" s="7">
        <v>4676.25</v>
      </c>
      <c r="C1105">
        <f>+VLOOKUP(A1105,'Undivideable Expenses'!$D$104:$AH$201,31,0)</f>
        <v>21914.38</v>
      </c>
      <c r="D1105" s="7">
        <f t="shared" ref="D1105:D1108" si="288">+B1105/C1105*100</f>
        <v>21.338728268835347</v>
      </c>
      <c r="G1105" s="7">
        <f>+VLOOKUP(A1105,'Undivideable Expenses'!D$104:AG$201,30,0)</f>
        <v>3754.773333333334</v>
      </c>
      <c r="H1105" s="7">
        <f t="shared" ref="H1105:H1108" si="289">+G1105/100*D1105</f>
        <v>801.22087871069141</v>
      </c>
    </row>
    <row r="1106" spans="1:8" x14ac:dyDescent="0.25">
      <c r="A1106" s="6">
        <v>45935</v>
      </c>
      <c r="B1106" s="7">
        <v>3985</v>
      </c>
      <c r="C1106">
        <f>+VLOOKUP(A1106,'Undivideable Expenses'!$D$104:$AH$201,31,0)</f>
        <v>16911.900000000001</v>
      </c>
      <c r="D1106" s="7">
        <f t="shared" si="288"/>
        <v>23.563289754551526</v>
      </c>
      <c r="G1106" s="7">
        <f>+VLOOKUP(A1106,'Undivideable Expenses'!D$104:AG$201,30,0)</f>
        <v>2248.4699999999998</v>
      </c>
      <c r="H1106" s="7">
        <f t="shared" si="289"/>
        <v>529.81350114416466</v>
      </c>
    </row>
    <row r="1107" spans="1:8" x14ac:dyDescent="0.25">
      <c r="A1107" s="6">
        <v>45936</v>
      </c>
      <c r="B1107" s="7">
        <v>1466.25</v>
      </c>
      <c r="C1107">
        <f>+VLOOKUP(A1107,'Undivideable Expenses'!$D$104:$AH$201,31,0)</f>
        <v>17012.5</v>
      </c>
      <c r="D1107" s="7">
        <f t="shared" si="288"/>
        <v>8.6186627479794282</v>
      </c>
      <c r="G1107" s="7">
        <f>+VLOOKUP(A1107,'Undivideable Expenses'!D$104:AG$201,30,0)</f>
        <v>2950.3319607843141</v>
      </c>
      <c r="H1107" s="7">
        <f t="shared" si="289"/>
        <v>254.27916164584872</v>
      </c>
    </row>
    <row r="1108" spans="1:8" x14ac:dyDescent="0.25">
      <c r="A1108" s="6">
        <v>45937</v>
      </c>
      <c r="B1108" s="7">
        <v>368.75</v>
      </c>
      <c r="C1108">
        <f>+VLOOKUP(A1108,'Undivideable Expenses'!$D$104:$AH$201,31,0)</f>
        <v>21800</v>
      </c>
      <c r="D1108" s="7">
        <f t="shared" si="288"/>
        <v>1.6915137614678899</v>
      </c>
      <c r="G1108" s="7">
        <f>+VLOOKUP(A1108,'Undivideable Expenses'!D$104:AG$201,30,0)</f>
        <v>3333.5290196078427</v>
      </c>
      <c r="H1108" s="7">
        <f t="shared" si="289"/>
        <v>56.387102109192291</v>
      </c>
    </row>
    <row r="1110" spans="1:8" x14ac:dyDescent="0.25">
      <c r="A1110" t="s">
        <v>231</v>
      </c>
    </row>
    <row r="1111" spans="1:8" x14ac:dyDescent="0.25">
      <c r="A1111" s="8" t="s">
        <v>6</v>
      </c>
      <c r="B1111" s="8" t="s">
        <v>231</v>
      </c>
      <c r="C1111" s="22" t="s">
        <v>50</v>
      </c>
      <c r="D1111" s="22" t="s">
        <v>9</v>
      </c>
    </row>
    <row r="1112" spans="1:8" x14ac:dyDescent="0.25">
      <c r="A1112" s="6">
        <v>45934</v>
      </c>
      <c r="B1112" s="7">
        <v>93.75</v>
      </c>
      <c r="C1112">
        <f>+VLOOKUP(A1112,'Undivideable Expenses'!$D$104:$AH$201,31,0)</f>
        <v>21914.38</v>
      </c>
      <c r="D1112" s="7">
        <f>+B1112/C1112*100</f>
        <v>0.42780128846903265</v>
      </c>
      <c r="G1112" s="7">
        <f>+VLOOKUP(A1112,'Undivideable Expenses'!D$104:AG$201,30,0)</f>
        <v>3754.773333333334</v>
      </c>
      <c r="H1112" s="7">
        <f t="shared" ref="H1112" si="290">+G1112/100*D1112</f>
        <v>16.062968699091648</v>
      </c>
    </row>
    <row r="1113" spans="1:8" x14ac:dyDescent="0.25">
      <c r="A1113" s="6">
        <v>45935</v>
      </c>
      <c r="B1113" s="7">
        <v>4166.6666666666661</v>
      </c>
      <c r="C1113">
        <f>+VLOOKUP(A1113,'Undivideable Expenses'!$D$104:$AH$201,31,0)</f>
        <v>16911.900000000001</v>
      </c>
      <c r="D1113" s="7">
        <f t="shared" ref="D1113:D1118" si="291">+B1113/C1113*100</f>
        <v>24.637484059547806</v>
      </c>
      <c r="G1113" s="7">
        <f>+VLOOKUP(A1113,'Undivideable Expenses'!D$104:AG$201,30,0)</f>
        <v>2248.4699999999998</v>
      </c>
      <c r="H1113" s="7">
        <f t="shared" ref="H1113:H1118" si="292">+G1113/100*D1113</f>
        <v>553.96643783371451</v>
      </c>
    </row>
    <row r="1114" spans="1:8" x14ac:dyDescent="0.25">
      <c r="A1114" s="6">
        <v>45936</v>
      </c>
      <c r="B1114" s="7">
        <v>5807.5</v>
      </c>
      <c r="C1114">
        <f>+VLOOKUP(A1114,'Undivideable Expenses'!$D$104:$AH$201,31,0)</f>
        <v>17012.5</v>
      </c>
      <c r="D1114" s="7">
        <f t="shared" si="291"/>
        <v>34.136664217487137</v>
      </c>
      <c r="G1114" s="7">
        <f>+VLOOKUP(A1114,'Undivideable Expenses'!D$104:AG$201,30,0)</f>
        <v>2950.3319607843141</v>
      </c>
      <c r="H1114" s="7">
        <f t="shared" si="292"/>
        <v>1007.1449147541456</v>
      </c>
    </row>
    <row r="1115" spans="1:8" x14ac:dyDescent="0.25">
      <c r="A1115" s="6">
        <v>45937</v>
      </c>
      <c r="B1115" s="7">
        <v>5150</v>
      </c>
      <c r="C1115">
        <f>+VLOOKUP(A1115,'Undivideable Expenses'!$D$104:$AH$201,31,0)</f>
        <v>21800</v>
      </c>
      <c r="D1115" s="7">
        <f t="shared" si="291"/>
        <v>23.623853211009173</v>
      </c>
      <c r="G1115" s="7">
        <f>+VLOOKUP(A1115,'Undivideable Expenses'!D$104:AG$201,30,0)</f>
        <v>3333.5290196078427</v>
      </c>
      <c r="H1115" s="7">
        <f t="shared" si="292"/>
        <v>787.50800233854989</v>
      </c>
    </row>
    <row r="1116" spans="1:8" x14ac:dyDescent="0.25">
      <c r="A1116" s="6">
        <v>45938</v>
      </c>
      <c r="B1116" s="7">
        <v>4509.375</v>
      </c>
      <c r="C1116">
        <f>+VLOOKUP(A1116,'Undivideable Expenses'!$D$104:$AH$201,31,0)</f>
        <v>22083.14</v>
      </c>
      <c r="D1116" s="7">
        <f t="shared" si="291"/>
        <v>20.41999009198873</v>
      </c>
      <c r="G1116" s="7">
        <f>+VLOOKUP(A1116,'Undivideable Expenses'!D$104:AG$201,30,0)</f>
        <v>3614.8539215686278</v>
      </c>
      <c r="H1116" s="7">
        <f t="shared" si="292"/>
        <v>738.15281262417989</v>
      </c>
    </row>
    <row r="1117" spans="1:8" x14ac:dyDescent="0.25">
      <c r="A1117" s="6">
        <v>45939</v>
      </c>
      <c r="B1117" s="7">
        <v>1698.75</v>
      </c>
      <c r="C1117">
        <f>+VLOOKUP(A1117,'Undivideable Expenses'!$D$104:$AH$201,31,0)</f>
        <v>22478.76</v>
      </c>
      <c r="D1117" s="7">
        <f t="shared" si="291"/>
        <v>7.5571339344341055</v>
      </c>
      <c r="G1117" s="7">
        <f>+VLOOKUP(A1117,'Undivideable Expenses'!D$104:AG$201,30,0)</f>
        <v>3445.8135294117646</v>
      </c>
      <c r="H1117" s="7">
        <f t="shared" si="292"/>
        <v>260.404743548498</v>
      </c>
    </row>
    <row r="1118" spans="1:8" x14ac:dyDescent="0.25">
      <c r="A1118" s="6">
        <v>45940</v>
      </c>
      <c r="B1118" s="7">
        <v>183.75</v>
      </c>
      <c r="C1118">
        <f>+VLOOKUP(A1118,'Undivideable Expenses'!$D$104:$AH$201,31,0)</f>
        <v>17545</v>
      </c>
      <c r="D1118" s="7">
        <f t="shared" si="291"/>
        <v>1.0473069250498717</v>
      </c>
      <c r="G1118" s="7">
        <f>+VLOOKUP(A1118,'Undivideable Expenses'!D$104:AG$201,30,0)</f>
        <v>2817.1815686274508</v>
      </c>
      <c r="H1118" s="7">
        <f t="shared" si="292"/>
        <v>29.504537659463896</v>
      </c>
    </row>
    <row r="1120" spans="1:8" x14ac:dyDescent="0.25">
      <c r="A1120" t="s">
        <v>235</v>
      </c>
    </row>
    <row r="1121" spans="1:8" x14ac:dyDescent="0.25">
      <c r="A1121" s="8" t="s">
        <v>6</v>
      </c>
      <c r="B1121" s="8" t="s">
        <v>232</v>
      </c>
      <c r="C1121" s="22" t="s">
        <v>50</v>
      </c>
      <c r="D1121" s="22" t="s">
        <v>9</v>
      </c>
    </row>
    <row r="1122" spans="1:8" x14ac:dyDescent="0.25">
      <c r="A1122" s="6">
        <v>45933</v>
      </c>
      <c r="B1122" s="7">
        <v>565</v>
      </c>
      <c r="C1122">
        <f>+VLOOKUP(A1122,'Undivideable Expenses'!$D$104:$AH$201,31,0)</f>
        <v>18936.25</v>
      </c>
      <c r="D1122" s="7">
        <f>+B1122/C1122*100</f>
        <v>2.9836952934187075</v>
      </c>
      <c r="G1122" s="7">
        <f>+VLOOKUP(A1122,'Undivideable Expenses'!D$104:AG$201,30,0)</f>
        <v>3840.6227450980391</v>
      </c>
      <c r="H1122" s="7">
        <f t="shared" ref="H1122" si="293">+G1122/100*D1122</f>
        <v>114.59248008345855</v>
      </c>
    </row>
    <row r="1123" spans="1:8" x14ac:dyDescent="0.25">
      <c r="A1123" s="6">
        <v>45934</v>
      </c>
      <c r="B1123" s="7">
        <v>2181.25</v>
      </c>
      <c r="C1123">
        <f>+VLOOKUP(A1123,'Undivideable Expenses'!$D$104:$AH$201,31,0)</f>
        <v>21914.38</v>
      </c>
      <c r="D1123" s="7">
        <f t="shared" ref="D1123:D1131" si="294">+B1123/C1123*100</f>
        <v>9.9535099783794934</v>
      </c>
      <c r="G1123" s="7">
        <f>+VLOOKUP(A1123,'Undivideable Expenses'!D$104:AG$201,30,0)</f>
        <v>3754.773333333334</v>
      </c>
      <c r="H1123" s="7">
        <f t="shared" ref="H1123:H1131" si="295">+G1123/100*D1123</f>
        <v>373.73173839886573</v>
      </c>
    </row>
    <row r="1124" spans="1:8" x14ac:dyDescent="0.25">
      <c r="A1124" s="6">
        <v>45935</v>
      </c>
      <c r="B1124" s="7">
        <v>1731.6666666666665</v>
      </c>
      <c r="C1124">
        <f>+VLOOKUP(A1124,'Undivideable Expenses'!$D$104:$AH$201,31,0)</f>
        <v>16911.900000000001</v>
      </c>
      <c r="D1124" s="7">
        <f t="shared" si="294"/>
        <v>10.239338375148071</v>
      </c>
      <c r="G1124" s="7">
        <f>+VLOOKUP(A1124,'Undivideable Expenses'!D$104:AG$201,30,0)</f>
        <v>2248.4699999999998</v>
      </c>
      <c r="H1124" s="7">
        <f t="shared" si="295"/>
        <v>230.22845156369181</v>
      </c>
    </row>
    <row r="1125" spans="1:8" x14ac:dyDescent="0.25">
      <c r="A1125" s="6">
        <v>45936</v>
      </c>
      <c r="B1125" s="7">
        <v>755</v>
      </c>
      <c r="C1125">
        <f>+VLOOKUP(A1125,'Undivideable Expenses'!$D$104:$AH$201,31,0)</f>
        <v>17012.5</v>
      </c>
      <c r="D1125" s="7">
        <f t="shared" si="294"/>
        <v>4.43791329904482</v>
      </c>
      <c r="G1125" s="7">
        <f>+VLOOKUP(A1125,'Undivideable Expenses'!D$104:AG$201,30,0)</f>
        <v>2950.3319607843141</v>
      </c>
      <c r="H1125" s="7">
        <f t="shared" si="295"/>
        <v>130.93317445361689</v>
      </c>
    </row>
    <row r="1126" spans="1:8" x14ac:dyDescent="0.25">
      <c r="A1126" s="6">
        <v>45937</v>
      </c>
      <c r="B1126" s="7">
        <v>428.75</v>
      </c>
      <c r="C1126">
        <f>+VLOOKUP(A1126,'Undivideable Expenses'!$D$104:$AH$201,31,0)</f>
        <v>21800</v>
      </c>
      <c r="D1126" s="7">
        <f t="shared" si="294"/>
        <v>1.9667431192660549</v>
      </c>
      <c r="G1126" s="7">
        <f>+VLOOKUP(A1126,'Undivideable Expenses'!D$104:AG$201,30,0)</f>
        <v>3333.5290196078427</v>
      </c>
      <c r="H1126" s="7">
        <f t="shared" si="295"/>
        <v>65.561952621874426</v>
      </c>
    </row>
    <row r="1127" spans="1:8" x14ac:dyDescent="0.25">
      <c r="A1127" s="6">
        <v>45939</v>
      </c>
      <c r="B1127" s="7">
        <v>2613.75</v>
      </c>
      <c r="C1127">
        <f>+VLOOKUP(A1127,'Undivideable Expenses'!$D$104:$AH$201,31,0)</f>
        <v>22478.76</v>
      </c>
      <c r="D1127" s="7">
        <f t="shared" si="294"/>
        <v>11.627643161811417</v>
      </c>
      <c r="G1127" s="7">
        <f>+VLOOKUP(A1127,'Undivideable Expenses'!D$104:AG$201,30,0)</f>
        <v>3445.8135294117646</v>
      </c>
      <c r="H1127" s="7">
        <f t="shared" si="295"/>
        <v>400.66690122141966</v>
      </c>
    </row>
    <row r="1128" spans="1:8" x14ac:dyDescent="0.25">
      <c r="A1128" s="6">
        <v>45940</v>
      </c>
      <c r="B1128" s="7">
        <v>2633.75</v>
      </c>
      <c r="C1128">
        <f>+VLOOKUP(A1128,'Undivideable Expenses'!$D$104:$AH$201,31,0)</f>
        <v>17545</v>
      </c>
      <c r="D1128" s="7">
        <f t="shared" si="294"/>
        <v>15.011399259048162</v>
      </c>
      <c r="G1128" s="7">
        <f>+VLOOKUP(A1128,'Undivideable Expenses'!D$104:AG$201,30,0)</f>
        <v>2817.1815686274508</v>
      </c>
      <c r="H1128" s="7">
        <f t="shared" si="295"/>
        <v>422.89837311898253</v>
      </c>
    </row>
    <row r="1129" spans="1:8" x14ac:dyDescent="0.25">
      <c r="A1129" s="6">
        <v>45941</v>
      </c>
      <c r="B1129" s="7">
        <v>2362.5</v>
      </c>
      <c r="C1129">
        <f>+VLOOKUP(A1129,'Undivideable Expenses'!$D$104:$AH$201,31,0)</f>
        <v>19220</v>
      </c>
      <c r="D1129" s="7">
        <f t="shared" si="294"/>
        <v>12.291883454734652</v>
      </c>
      <c r="G1129" s="7">
        <f>+VLOOKUP(A1129,'Undivideable Expenses'!D$104:AG$201,30,0)</f>
        <v>3711.4678431372545</v>
      </c>
      <c r="H1129" s="7">
        <f t="shared" si="295"/>
        <v>456.20930173838525</v>
      </c>
    </row>
    <row r="1130" spans="1:8" x14ac:dyDescent="0.25">
      <c r="A1130" s="6">
        <v>45943</v>
      </c>
      <c r="B1130" s="7">
        <v>2226.25</v>
      </c>
      <c r="C1130">
        <f>+VLOOKUP(A1130,'Undivideable Expenses'!$D$104:$AH$201,31,0)</f>
        <v>16090</v>
      </c>
      <c r="D1130" s="7">
        <f t="shared" si="294"/>
        <v>13.836233685518955</v>
      </c>
      <c r="G1130" s="7">
        <f>+VLOOKUP(A1130,'Undivideable Expenses'!D$104:AG$201,30,0)</f>
        <v>4156.0586274509806</v>
      </c>
      <c r="H1130" s="7">
        <f t="shared" si="295"/>
        <v>575.04198380128923</v>
      </c>
    </row>
    <row r="1131" spans="1:8" x14ac:dyDescent="0.25">
      <c r="A1131" s="6">
        <v>45944</v>
      </c>
      <c r="B1131" s="7">
        <v>62.5</v>
      </c>
      <c r="C1131">
        <f>+VLOOKUP(A1131,'Undivideable Expenses'!$D$104:$AH$201,31,0)</f>
        <v>15526.25</v>
      </c>
      <c r="D1131" s="7">
        <f t="shared" si="294"/>
        <v>0.40254407857660418</v>
      </c>
      <c r="G1131" s="7">
        <f>+VLOOKUP(A1131,'Undivideable Expenses'!D$104:AG$201,30,0)</f>
        <v>3114.9388235294118</v>
      </c>
      <c r="H1131" s="7">
        <f t="shared" si="295"/>
        <v>12.539001785401386</v>
      </c>
    </row>
    <row r="1133" spans="1:8" x14ac:dyDescent="0.25">
      <c r="A1133" t="s">
        <v>234</v>
      </c>
    </row>
    <row r="1134" spans="1:8" x14ac:dyDescent="0.25">
      <c r="A1134" s="8" t="s">
        <v>6</v>
      </c>
      <c r="B1134" s="8" t="s">
        <v>233</v>
      </c>
      <c r="C1134" s="22" t="s">
        <v>50</v>
      </c>
      <c r="D1134" s="22" t="s">
        <v>9</v>
      </c>
    </row>
    <row r="1135" spans="1:8" x14ac:dyDescent="0.25">
      <c r="A1135" s="6">
        <v>45823</v>
      </c>
      <c r="B1135">
        <v>2080</v>
      </c>
      <c r="C1135">
        <f>+VLOOKUP(A1135,'Undivideable Expenses'!$U$4:$W$66,3,0)</f>
        <v>12830</v>
      </c>
      <c r="D1135" s="7">
        <f t="shared" ref="D1135" si="296">+B1135/C1135*100</f>
        <v>16.212003117692909</v>
      </c>
      <c r="G1135" s="12">
        <f>+VLOOKUP(A1135,'Undivideable Expenses'!$U$4:$V$66,2,0)</f>
        <v>2760.5034210526314</v>
      </c>
      <c r="H1135" s="7">
        <f t="shared" ref="H1135" si="297">+G1135/100*D1135</f>
        <v>447.53290068507198</v>
      </c>
    </row>
    <row r="1136" spans="1:8" x14ac:dyDescent="0.25">
      <c r="A1136" s="6">
        <v>45824</v>
      </c>
      <c r="B1136">
        <v>3107.5</v>
      </c>
      <c r="C1136">
        <f>+VLOOKUP(A1136,'Undivideable Expenses'!$U$4:$W$66,3,0)</f>
        <v>14681</v>
      </c>
      <c r="D1136" s="7">
        <f t="shared" ref="D1136:D1150" si="298">+B1136/C1136*100</f>
        <v>21.166814249710512</v>
      </c>
      <c r="G1136" s="12">
        <f>+VLOOKUP(A1136,'Undivideable Expenses'!$U$4:$V$66,2,0)</f>
        <v>1640.1952631578947</v>
      </c>
      <c r="H1136" s="7">
        <f t="shared" ref="H1136:H1150" si="299">+G1136/100*D1136</f>
        <v>347.17708468518208</v>
      </c>
    </row>
    <row r="1137" spans="1:8" x14ac:dyDescent="0.25">
      <c r="A1137" s="6">
        <v>45825</v>
      </c>
      <c r="B1137">
        <v>4495</v>
      </c>
      <c r="C1137">
        <f>+VLOOKUP(A1137,'Undivideable Expenses'!$U$4:$W$66,3,0)</f>
        <v>17215</v>
      </c>
      <c r="D1137" s="7">
        <f t="shared" si="298"/>
        <v>26.110949753122277</v>
      </c>
      <c r="G1137" s="12">
        <f>+VLOOKUP(A1137,'Undivideable Expenses'!$U$4:$V$66,2,0)</f>
        <v>1704.2012280701756</v>
      </c>
      <c r="H1137" s="7">
        <f t="shared" si="299"/>
        <v>444.98312635349629</v>
      </c>
    </row>
    <row r="1138" spans="1:8" x14ac:dyDescent="0.25">
      <c r="A1138" s="6">
        <v>45826</v>
      </c>
      <c r="B1138">
        <v>7551.25</v>
      </c>
      <c r="C1138">
        <f>+VLOOKUP(A1138,'Undivideable Expenses'!$U$4:$W$66,3,0)</f>
        <v>17368</v>
      </c>
      <c r="D1138" s="7">
        <f t="shared" si="298"/>
        <v>43.477947950253338</v>
      </c>
      <c r="G1138" s="12">
        <f>+VLOOKUP(A1138,'Undivideable Expenses'!$U$4:$V$66,2,0)</f>
        <v>1640.1952631578947</v>
      </c>
      <c r="H1138" s="7">
        <f t="shared" si="299"/>
        <v>713.12324279831023</v>
      </c>
    </row>
    <row r="1139" spans="1:8" x14ac:dyDescent="0.25">
      <c r="A1139" s="6">
        <v>45827</v>
      </c>
      <c r="B1139">
        <v>7472.5</v>
      </c>
      <c r="C1139">
        <f>+VLOOKUP(A1139,'Undivideable Expenses'!$U$4:$W$66,3,0)</f>
        <v>17939.75</v>
      </c>
      <c r="D1139" s="7">
        <f t="shared" si="298"/>
        <v>41.653311779707074</v>
      </c>
      <c r="G1139" s="12">
        <f>+VLOOKUP(A1139,'Undivideable Expenses'!$U$4:$V$66,2,0)</f>
        <v>1699.6842105263158</v>
      </c>
      <c r="H1139" s="7">
        <f t="shared" si="299"/>
        <v>707.97476348097916</v>
      </c>
    </row>
    <row r="1140" spans="1:8" x14ac:dyDescent="0.25">
      <c r="A1140" s="6">
        <v>45828</v>
      </c>
      <c r="B1140">
        <v>3398.75</v>
      </c>
      <c r="C1140">
        <f>+VLOOKUP(A1140,'Undivideable Expenses'!$U$4:$W$66,3,0)</f>
        <v>18628</v>
      </c>
      <c r="D1140" s="7">
        <f t="shared" si="298"/>
        <v>18.245383293966071</v>
      </c>
      <c r="G1140" s="12">
        <f>+VLOOKUP(A1140,'Undivideable Expenses'!$U$4:$V$66,2,0)</f>
        <v>1703.9334210526317</v>
      </c>
      <c r="H1140" s="7">
        <f t="shared" si="299"/>
        <v>310.88918374504141</v>
      </c>
    </row>
    <row r="1141" spans="1:8" x14ac:dyDescent="0.25">
      <c r="A1141" s="6">
        <v>45829</v>
      </c>
      <c r="B1141">
        <v>3486.25</v>
      </c>
      <c r="C1141">
        <f>+VLOOKUP(A1141,'Undivideable Expenses'!$U$4:$W$66,3,0)</f>
        <v>15640</v>
      </c>
      <c r="D1141" s="7">
        <f t="shared" si="298"/>
        <v>22.290601023017903</v>
      </c>
      <c r="G1141" s="12">
        <f>+VLOOKUP(A1141,'Undivideable Expenses'!$U$4:$V$66,2,0)</f>
        <v>1330.5642982456143</v>
      </c>
      <c r="H1141" s="7">
        <f t="shared" si="299"/>
        <v>296.59077907664783</v>
      </c>
    </row>
    <row r="1142" spans="1:8" x14ac:dyDescent="0.25">
      <c r="A1142" s="6">
        <v>45831</v>
      </c>
      <c r="B1142">
        <v>4160</v>
      </c>
      <c r="C1142">
        <f>+VLOOKUP(A1142,'Undivideable Expenses'!$U$4:$W$66,3,0)</f>
        <v>19450</v>
      </c>
      <c r="D1142" s="7">
        <f t="shared" si="298"/>
        <v>21.388174807197942</v>
      </c>
      <c r="G1142" s="12">
        <f>+VLOOKUP(A1142,'Undivideable Expenses'!$U$4:$V$66,2,0)</f>
        <v>1720.4204385964913</v>
      </c>
      <c r="H1142" s="7">
        <f t="shared" si="299"/>
        <v>367.9665308257791</v>
      </c>
    </row>
    <row r="1143" spans="1:8" x14ac:dyDescent="0.25">
      <c r="A1143" s="6">
        <v>45832</v>
      </c>
      <c r="B1143">
        <v>4658.75</v>
      </c>
      <c r="C1143">
        <f>+VLOOKUP(A1143,'Undivideable Expenses'!$U$4:$W$66,3,0)</f>
        <v>19444.5</v>
      </c>
      <c r="D1143" s="7">
        <f t="shared" si="298"/>
        <v>23.959217259379258</v>
      </c>
      <c r="G1143" s="12">
        <f>+VLOOKUP(A1143,'Undivideable Expenses'!$U$4:$V$66,2,0)</f>
        <v>1720.662456140351</v>
      </c>
      <c r="H1143" s="7">
        <f t="shared" si="299"/>
        <v>412.25725616723798</v>
      </c>
    </row>
    <row r="1144" spans="1:8" x14ac:dyDescent="0.25">
      <c r="A1144" s="6">
        <v>45833</v>
      </c>
      <c r="B1144">
        <v>2501.25</v>
      </c>
      <c r="C1144">
        <f>+VLOOKUP(A1144,'Undivideable Expenses'!$U$4:$W$66,3,0)</f>
        <v>18274</v>
      </c>
      <c r="D1144" s="7">
        <f t="shared" si="298"/>
        <v>13.687479479041261</v>
      </c>
      <c r="G1144" s="12">
        <f>+VLOOKUP(A1144,'Undivideable Expenses'!$U$4:$V$66,2,0)</f>
        <v>1712.4318421052631</v>
      </c>
      <c r="H1144" s="7">
        <f t="shared" si="299"/>
        <v>234.38875698072616</v>
      </c>
    </row>
    <row r="1145" spans="1:8" x14ac:dyDescent="0.25">
      <c r="A1145" s="6">
        <v>45834</v>
      </c>
      <c r="B1145">
        <v>417.5</v>
      </c>
      <c r="C1145">
        <f>+VLOOKUP(A1145,'Undivideable Expenses'!$U$4:$W$66,3,0)</f>
        <v>18253.125</v>
      </c>
      <c r="D1145" s="7">
        <f t="shared" si="298"/>
        <v>2.2872795754151687</v>
      </c>
      <c r="G1145" s="12">
        <f>+VLOOKUP(A1145,'Undivideable Expenses'!$U$4:$V$66,2,0)</f>
        <v>1734.800701754386</v>
      </c>
      <c r="H1145" s="7">
        <f t="shared" si="299"/>
        <v>39.679742125387087</v>
      </c>
    </row>
    <row r="1146" spans="1:8" x14ac:dyDescent="0.25">
      <c r="A1146" s="6">
        <v>45835</v>
      </c>
      <c r="B1146">
        <v>2407.5</v>
      </c>
      <c r="C1146">
        <f>+VLOOKUP(A1146,'Undivideable Expenses'!$U$4:$W$66,3,0)</f>
        <v>18131</v>
      </c>
      <c r="D1146" s="7">
        <f t="shared" si="298"/>
        <v>13.278363024653908</v>
      </c>
      <c r="G1146" s="12">
        <f>+VLOOKUP(A1146,'Undivideable Expenses'!$U$4:$V$66,2,0)</f>
        <v>1245.8914912280702</v>
      </c>
      <c r="H1146" s="7">
        <f t="shared" si="299"/>
        <v>165.43399509853728</v>
      </c>
    </row>
    <row r="1147" spans="1:8" x14ac:dyDescent="0.25">
      <c r="A1147" s="6">
        <v>45836</v>
      </c>
      <c r="B1147">
        <v>892.5</v>
      </c>
      <c r="C1147">
        <f>+VLOOKUP(A1147,'Undivideable Expenses'!$U$4:$W$66,3,0)</f>
        <v>19172</v>
      </c>
      <c r="D1147" s="7">
        <f t="shared" si="298"/>
        <v>4.6552263717921969</v>
      </c>
      <c r="G1147" s="12">
        <f>+VLOOKUP(A1147,'Undivideable Expenses'!$U$4:$V$66,2,0)</f>
        <v>1517.5414912280703</v>
      </c>
      <c r="H1147" s="7">
        <f t="shared" si="299"/>
        <v>70.644991702537695</v>
      </c>
    </row>
    <row r="1148" spans="1:8" x14ac:dyDescent="0.25">
      <c r="A1148" s="6">
        <v>45837</v>
      </c>
      <c r="B1148">
        <v>2198.333333333333</v>
      </c>
      <c r="C1148">
        <f>+VLOOKUP(A1148,'Undivideable Expenses'!$U$4:$W$66,3,0)</f>
        <v>13830.666666666666</v>
      </c>
      <c r="D1148" s="7">
        <f t="shared" si="298"/>
        <v>15.894630290176417</v>
      </c>
      <c r="G1148" s="12">
        <f>+VLOOKUP(A1148,'Undivideable Expenses'!$U$4:$V$66,2,0)</f>
        <v>2035.2533333333336</v>
      </c>
      <c r="H1148" s="7">
        <f t="shared" si="299"/>
        <v>323.49599280182525</v>
      </c>
    </row>
    <row r="1149" spans="1:8" x14ac:dyDescent="0.25">
      <c r="A1149" s="6">
        <v>45838</v>
      </c>
      <c r="B1149">
        <v>1443.75</v>
      </c>
      <c r="C1149">
        <f>+VLOOKUP(A1149,'Undivideable Expenses'!$U$4:$W$66,3,0)</f>
        <v>19402</v>
      </c>
      <c r="D1149" s="7">
        <f t="shared" si="298"/>
        <v>7.4412431708071338</v>
      </c>
      <c r="G1149" s="12">
        <f>+VLOOKUP(A1149,'Undivideable Expenses'!$U$4:$V$66,2,0)</f>
        <v>1521.4713157894735</v>
      </c>
      <c r="H1149" s="7">
        <f t="shared" si="299"/>
        <v>113.21638038197364</v>
      </c>
    </row>
    <row r="1150" spans="1:8" x14ac:dyDescent="0.25">
      <c r="A1150" s="6">
        <v>45839</v>
      </c>
      <c r="B1150">
        <v>1050</v>
      </c>
      <c r="C1150" s="12">
        <f>+VLOOKUP(A1150,'Undivideable Expenses'!$D$70:$AF$100,25,0)</f>
        <v>19101</v>
      </c>
      <c r="D1150" s="7">
        <f t="shared" si="298"/>
        <v>5.497094392963719</v>
      </c>
      <c r="G1150" s="12">
        <f>+VLOOKUP(A1150,'Undivideable Expenses'!$D$70:$AA$100,24,0)</f>
        <v>3171.12</v>
      </c>
      <c r="H1150" s="12">
        <f t="shared" si="299"/>
        <v>174.31945971415107</v>
      </c>
    </row>
    <row r="1151" spans="1:8" x14ac:dyDescent="0.25">
      <c r="A1151" s="6">
        <v>45840</v>
      </c>
      <c r="B1151">
        <v>172.5</v>
      </c>
      <c r="C1151" s="12">
        <f>+VLOOKUP(A1151,'Undivideable Expenses'!$D$70:$AF$100,25,0)</f>
        <v>20220</v>
      </c>
      <c r="D1151" s="7">
        <f t="shared" ref="D1151:D1164" si="300">+B1151/C1151*100</f>
        <v>0.85311572700296734</v>
      </c>
      <c r="G1151" s="12">
        <f>+VLOOKUP(A1151,'Undivideable Expenses'!$D$70:$AA$100,24,0)</f>
        <v>3178.4300000000003</v>
      </c>
      <c r="H1151" s="12">
        <f t="shared" ref="H1151:H1164" si="301">+G1151/100*D1151</f>
        <v>27.115686201780417</v>
      </c>
    </row>
    <row r="1152" spans="1:8" x14ac:dyDescent="0.25">
      <c r="A1152" s="6">
        <v>45841</v>
      </c>
      <c r="B1152">
        <v>295</v>
      </c>
      <c r="C1152" s="12">
        <f>+VLOOKUP(A1152,'Undivideable Expenses'!$D$70:$AF$100,25,0)</f>
        <v>19448</v>
      </c>
      <c r="D1152" s="7">
        <f t="shared" si="300"/>
        <v>1.5168654874537228</v>
      </c>
      <c r="G1152" s="12">
        <f>+VLOOKUP(A1152,'Undivideable Expenses'!$D$70:$AA$100,24,0)</f>
        <v>3367.16</v>
      </c>
      <c r="H1152" s="12">
        <f t="shared" si="301"/>
        <v>51.075287947346773</v>
      </c>
    </row>
    <row r="1153" spans="1:8" x14ac:dyDescent="0.25">
      <c r="A1153" s="6">
        <v>45843</v>
      </c>
      <c r="B1153">
        <v>138.75</v>
      </c>
      <c r="C1153" s="12">
        <f>+VLOOKUP(A1153,'Undivideable Expenses'!$D$70:$AF$100,25,0)</f>
        <v>15316.25</v>
      </c>
      <c r="D1153" s="7">
        <f t="shared" si="300"/>
        <v>0.90590059577246396</v>
      </c>
      <c r="G1153" s="12">
        <f>+VLOOKUP(A1153,'Undivideable Expenses'!$D$70:$AA$100,24,0)</f>
        <v>3221.15</v>
      </c>
      <c r="H1153" s="12">
        <f t="shared" si="301"/>
        <v>29.180417040724723</v>
      </c>
    </row>
    <row r="1154" spans="1:8" x14ac:dyDescent="0.25">
      <c r="A1154" s="6">
        <v>45846</v>
      </c>
      <c r="B1154">
        <v>447.5</v>
      </c>
      <c r="C1154" s="12">
        <f>+VLOOKUP(A1154,'Undivideable Expenses'!$D$70:$AF$100,25,0)</f>
        <v>20686</v>
      </c>
      <c r="D1154" s="7">
        <f t="shared" si="300"/>
        <v>2.1632988494634051</v>
      </c>
      <c r="G1154" s="12">
        <f>+VLOOKUP(A1154,'Undivideable Expenses'!$D$70:$AA$100,24,0)</f>
        <v>4242.09</v>
      </c>
      <c r="H1154" s="12">
        <f t="shared" si="301"/>
        <v>91.769084163202166</v>
      </c>
    </row>
    <row r="1155" spans="1:8" x14ac:dyDescent="0.25">
      <c r="A1155" s="6">
        <v>45847</v>
      </c>
      <c r="B1155">
        <v>407.5</v>
      </c>
      <c r="C1155" s="12">
        <f>+VLOOKUP(A1155,'Undivideable Expenses'!$D$70:$AF$100,25,0)</f>
        <v>21121.375</v>
      </c>
      <c r="D1155" s="7">
        <f t="shared" si="300"/>
        <v>1.929325150469607</v>
      </c>
      <c r="G1155" s="12">
        <f>+VLOOKUP(A1155,'Undivideable Expenses'!$D$70:$AA$100,24,0)</f>
        <v>3004</v>
      </c>
      <c r="H1155" s="12">
        <f t="shared" si="301"/>
        <v>57.956927520106994</v>
      </c>
    </row>
    <row r="1156" spans="1:8" x14ac:dyDescent="0.25">
      <c r="A1156" s="6">
        <v>45848</v>
      </c>
      <c r="B1156">
        <v>968.75</v>
      </c>
      <c r="C1156" s="12">
        <f>+VLOOKUP(A1156,'Undivideable Expenses'!$D$70:$AF$100,25,0)</f>
        <v>19639</v>
      </c>
      <c r="D1156" s="7">
        <f t="shared" si="300"/>
        <v>4.932786801771984</v>
      </c>
      <c r="G1156" s="12">
        <f>+VLOOKUP(A1156,'Undivideable Expenses'!$D$70:$AA$100,24,0)</f>
        <v>3771.3500000000004</v>
      </c>
      <c r="H1156" s="12">
        <f t="shared" si="301"/>
        <v>186.03265504862773</v>
      </c>
    </row>
    <row r="1157" spans="1:8" x14ac:dyDescent="0.25">
      <c r="A1157" s="6">
        <v>45849</v>
      </c>
      <c r="B1157">
        <v>1201.25</v>
      </c>
      <c r="C1157" s="12">
        <f>+VLOOKUP(A1157,'Undivideable Expenses'!$D$70:$AF$100,25,0)</f>
        <v>17028.75</v>
      </c>
      <c r="D1157" s="7">
        <f t="shared" si="300"/>
        <v>7.0542464948983339</v>
      </c>
      <c r="G1157" s="12">
        <f>+VLOOKUP(A1157,'Undivideable Expenses'!$D$70:$AA$100,24,0)</f>
        <v>2724.78</v>
      </c>
      <c r="H1157" s="12">
        <f t="shared" si="301"/>
        <v>192.21269764369083</v>
      </c>
    </row>
    <row r="1158" spans="1:8" x14ac:dyDescent="0.25">
      <c r="A1158" s="6">
        <v>45850</v>
      </c>
      <c r="B1158">
        <v>1380</v>
      </c>
      <c r="C1158" s="12">
        <f>+VLOOKUP(A1158,'Undivideable Expenses'!$D$70:$AF$100,25,0)</f>
        <v>21448</v>
      </c>
      <c r="D1158" s="7">
        <f t="shared" si="300"/>
        <v>6.4341663558373741</v>
      </c>
      <c r="G1158" s="12">
        <f>+VLOOKUP(A1158,'Undivideable Expenses'!$D$70:$AA$100,24,0)</f>
        <v>4271.17</v>
      </c>
      <c r="H1158" s="12">
        <f t="shared" si="301"/>
        <v>274.81418314061915</v>
      </c>
    </row>
    <row r="1159" spans="1:8" x14ac:dyDescent="0.25">
      <c r="A1159" s="6">
        <v>45852</v>
      </c>
      <c r="B1159">
        <v>295</v>
      </c>
      <c r="C1159" s="12">
        <f>+VLOOKUP(A1159,'Undivideable Expenses'!$D$70:$AF$100,25,0)</f>
        <v>18976.25</v>
      </c>
      <c r="D1159" s="7">
        <f t="shared" si="300"/>
        <v>1.5545747974441737</v>
      </c>
      <c r="G1159" s="12">
        <f>+VLOOKUP(A1159,'Undivideable Expenses'!$D$70:$AA$100,24,0)</f>
        <v>4415.74</v>
      </c>
      <c r="H1159" s="12">
        <f t="shared" si="301"/>
        <v>68.64598116066135</v>
      </c>
    </row>
    <row r="1160" spans="1:8" x14ac:dyDescent="0.25">
      <c r="A1160" s="6">
        <v>45855</v>
      </c>
      <c r="B1160">
        <v>180</v>
      </c>
      <c r="C1160" s="12">
        <f>+VLOOKUP(A1160,'Undivideable Expenses'!$D$70:$AF$100,25,0)</f>
        <v>21265</v>
      </c>
      <c r="D1160" s="7">
        <f t="shared" si="300"/>
        <v>0.84646132142017405</v>
      </c>
      <c r="G1160" s="12">
        <f>+VLOOKUP(A1160,'Undivideable Expenses'!$D$70:$AA$100,24,0)</f>
        <v>4428.74</v>
      </c>
      <c r="H1160" s="12">
        <f t="shared" si="301"/>
        <v>37.487571126263816</v>
      </c>
    </row>
    <row r="1161" spans="1:8" x14ac:dyDescent="0.25">
      <c r="A1161" s="6">
        <v>45856</v>
      </c>
      <c r="B1161">
        <v>110</v>
      </c>
      <c r="C1161" s="12">
        <f>+VLOOKUP(A1161,'Undivideable Expenses'!$D$70:$AF$100,25,0)</f>
        <v>22924.875</v>
      </c>
      <c r="D1161" s="7">
        <f t="shared" si="300"/>
        <v>0.47982813428644649</v>
      </c>
      <c r="G1161" s="12">
        <f>+VLOOKUP(A1161,'Undivideable Expenses'!$D$70:$AA$100,24,0)</f>
        <v>4467.2</v>
      </c>
      <c r="H1161" s="12">
        <f t="shared" si="301"/>
        <v>21.434882414844136</v>
      </c>
    </row>
    <row r="1162" spans="1:8" x14ac:dyDescent="0.25">
      <c r="A1162" s="6">
        <v>45857</v>
      </c>
      <c r="B1162">
        <v>422.5</v>
      </c>
      <c r="C1162" s="12">
        <f>+VLOOKUP(A1162,'Undivideable Expenses'!$D$70:$AF$100,25,0)</f>
        <v>18823.75</v>
      </c>
      <c r="D1162" s="7">
        <f t="shared" si="300"/>
        <v>2.2445049472076497</v>
      </c>
      <c r="G1162" s="12">
        <f>+VLOOKUP(A1162,'Undivideable Expenses'!$D$70:$AA$100,24,0)</f>
        <v>3177.4900000000002</v>
      </c>
      <c r="H1162" s="12">
        <f t="shared" si="301"/>
        <v>71.318920247028359</v>
      </c>
    </row>
    <row r="1163" spans="1:8" x14ac:dyDescent="0.25">
      <c r="A1163" s="6">
        <v>45859</v>
      </c>
      <c r="B1163">
        <v>200</v>
      </c>
      <c r="C1163" s="12">
        <f>+VLOOKUP(A1163,'Undivideable Expenses'!$D$70:$AF$100,25,0)</f>
        <v>21283.5</v>
      </c>
      <c r="D1163" s="7">
        <f t="shared" si="300"/>
        <v>0.93969506895012578</v>
      </c>
      <c r="G1163" s="12">
        <f>+VLOOKUP(A1163,'Undivideable Expenses'!$D$70:$AA$100,24,0)</f>
        <v>3814.75</v>
      </c>
      <c r="H1163" s="12">
        <f t="shared" si="301"/>
        <v>35.847017642774922</v>
      </c>
    </row>
    <row r="1164" spans="1:8" x14ac:dyDescent="0.25">
      <c r="A1164" s="6">
        <v>45867</v>
      </c>
      <c r="B1164">
        <v>420</v>
      </c>
      <c r="C1164" s="12">
        <f>+VLOOKUP(A1164,'Undivideable Expenses'!$D$70:$AF$100,25,0)</f>
        <v>23655</v>
      </c>
      <c r="D1164" s="7">
        <f t="shared" si="300"/>
        <v>1.7755231452124285</v>
      </c>
      <c r="G1164" s="12">
        <f>+VLOOKUP(A1164,'Undivideable Expenses'!$D$70:$AA$100,24,0)</f>
        <v>3369.74</v>
      </c>
      <c r="H1164" s="12">
        <f t="shared" si="301"/>
        <v>59.830513633481281</v>
      </c>
    </row>
    <row r="1165" spans="1:8" x14ac:dyDescent="0.25">
      <c r="A1165" s="6">
        <v>45871</v>
      </c>
      <c r="B1165">
        <v>150</v>
      </c>
      <c r="C1165">
        <f>+VLOOKUP(A1165,'Undivideable Expenses'!$D$104:$AH$201,31,0)</f>
        <v>0</v>
      </c>
      <c r="D1165" s="7" t="e">
        <f t="shared" ref="D1165:D1181" si="302">+B1165/C1165*100</f>
        <v>#DIV/0!</v>
      </c>
      <c r="G1165" s="7">
        <f>+VLOOKUP(A1165,'Undivideable Expenses'!D$104:AG$201,30,0)</f>
        <v>0</v>
      </c>
      <c r="H1165" s="7" t="e">
        <f t="shared" ref="H1165:H1181" si="303">+G1165/100*D1165</f>
        <v>#DIV/0!</v>
      </c>
    </row>
    <row r="1166" spans="1:8" x14ac:dyDescent="0.25">
      <c r="A1166" s="6">
        <v>45875</v>
      </c>
      <c r="B1166">
        <v>250</v>
      </c>
      <c r="C1166">
        <f>+VLOOKUP(A1166,'Undivideable Expenses'!$D$104:$AH$201,31,0)</f>
        <v>0</v>
      </c>
      <c r="D1166" s="7" t="e">
        <f t="shared" si="302"/>
        <v>#DIV/0!</v>
      </c>
      <c r="G1166" s="7">
        <f>+VLOOKUP(A1166,'Undivideable Expenses'!D$104:AG$201,30,0)</f>
        <v>0</v>
      </c>
      <c r="H1166" s="7" t="e">
        <f t="shared" si="303"/>
        <v>#DIV/0!</v>
      </c>
    </row>
    <row r="1167" spans="1:8" x14ac:dyDescent="0.25">
      <c r="A1167" s="6">
        <v>45901</v>
      </c>
      <c r="B1167">
        <v>396.25</v>
      </c>
      <c r="C1167">
        <f>+VLOOKUP(A1167,'Undivideable Expenses'!$D$104:$AH$201,31,0)</f>
        <v>20357.310000000001</v>
      </c>
      <c r="D1167" s="7">
        <f t="shared" si="302"/>
        <v>1.9464752464839412</v>
      </c>
      <c r="G1167" s="7">
        <f>+VLOOKUP(A1167,'Undivideable Expenses'!D$104:AG$201,30,0)</f>
        <v>4437.38</v>
      </c>
      <c r="H1167" s="7">
        <f t="shared" si="303"/>
        <v>86.372503292429116</v>
      </c>
    </row>
    <row r="1168" spans="1:8" x14ac:dyDescent="0.25">
      <c r="A1168" s="6">
        <v>45902</v>
      </c>
      <c r="B1168">
        <v>470</v>
      </c>
      <c r="C1168">
        <f>+VLOOKUP(A1168,'Undivideable Expenses'!$D$104:$AH$201,31,0)</f>
        <v>23629.9</v>
      </c>
      <c r="D1168" s="7">
        <f t="shared" si="302"/>
        <v>1.9890054549532583</v>
      </c>
      <c r="G1168" s="7">
        <f>+VLOOKUP(A1168,'Undivideable Expenses'!D$104:AG$201,30,0)</f>
        <v>4535.63</v>
      </c>
      <c r="H1168" s="7">
        <f t="shared" si="303"/>
        <v>90.213928116496476</v>
      </c>
    </row>
    <row r="1169" spans="1:8" x14ac:dyDescent="0.25">
      <c r="A1169" s="6">
        <v>45903</v>
      </c>
      <c r="B1169">
        <v>430</v>
      </c>
      <c r="C1169">
        <f>+VLOOKUP(A1169,'Undivideable Expenses'!$D$104:$AH$201,31,0)</f>
        <v>23717.5</v>
      </c>
      <c r="D1169" s="7">
        <f t="shared" si="302"/>
        <v>1.8130072731105724</v>
      </c>
      <c r="G1169" s="7">
        <f>+VLOOKUP(A1169,'Undivideable Expenses'!D$104:AG$201,30,0)</f>
        <v>3824.46</v>
      </c>
      <c r="H1169" s="7">
        <f t="shared" si="303"/>
        <v>69.337737957204595</v>
      </c>
    </row>
    <row r="1170" spans="1:8" x14ac:dyDescent="0.25">
      <c r="A1170" s="6">
        <v>45904</v>
      </c>
      <c r="B1170">
        <v>480</v>
      </c>
      <c r="C1170">
        <f>+VLOOKUP(A1170,'Undivideable Expenses'!$D$104:$AH$201,31,0)</f>
        <v>18022</v>
      </c>
      <c r="D1170" s="7">
        <f t="shared" si="302"/>
        <v>2.6634113860836752</v>
      </c>
      <c r="G1170" s="7">
        <f>+VLOOKUP(A1170,'Undivideable Expenses'!D$104:AG$201,30,0)</f>
        <v>3321.4500000000003</v>
      </c>
      <c r="H1170" s="7">
        <f t="shared" si="303"/>
        <v>88.463877483076232</v>
      </c>
    </row>
    <row r="1171" spans="1:8" x14ac:dyDescent="0.25">
      <c r="A1171" s="6">
        <v>45905</v>
      </c>
      <c r="B1171">
        <v>220</v>
      </c>
      <c r="C1171">
        <f>+VLOOKUP(A1171,'Undivideable Expenses'!$D$104:$AH$201,31,0)</f>
        <v>22442.61</v>
      </c>
      <c r="D1171" s="7">
        <f t="shared" si="302"/>
        <v>0.98027814055495333</v>
      </c>
      <c r="G1171" s="7">
        <f>+VLOOKUP(A1171,'Undivideable Expenses'!D$104:AG$201,30,0)</f>
        <v>4314.3</v>
      </c>
      <c r="H1171" s="7">
        <f t="shared" si="303"/>
        <v>42.292139817962351</v>
      </c>
    </row>
    <row r="1172" spans="1:8" x14ac:dyDescent="0.25">
      <c r="A1172" s="6">
        <v>45909</v>
      </c>
      <c r="B1172">
        <v>1330</v>
      </c>
      <c r="C1172">
        <f>+VLOOKUP(A1172,'Undivideable Expenses'!$D$104:$AH$201,31,0)</f>
        <v>25931.25</v>
      </c>
      <c r="D1172" s="7">
        <f t="shared" si="302"/>
        <v>5.1289467341528079</v>
      </c>
      <c r="G1172" s="7">
        <f>+VLOOKUP(A1172,'Undivideable Expenses'!D$104:AG$201,30,0)</f>
        <v>4342.7</v>
      </c>
      <c r="H1172" s="7">
        <f t="shared" si="303"/>
        <v>222.73476982405398</v>
      </c>
    </row>
    <row r="1173" spans="1:8" x14ac:dyDescent="0.25">
      <c r="A1173" s="6">
        <v>45910</v>
      </c>
      <c r="B1173">
        <v>445</v>
      </c>
      <c r="C1173">
        <f>+VLOOKUP(A1173,'Undivideable Expenses'!$D$104:$AH$201,31,0)</f>
        <v>25830.799999999999</v>
      </c>
      <c r="D1173" s="7">
        <f t="shared" si="302"/>
        <v>1.7227495857658301</v>
      </c>
      <c r="G1173" s="7">
        <f>+VLOOKUP(A1173,'Undivideable Expenses'!D$104:AG$201,30,0)</f>
        <v>4179.7700000000004</v>
      </c>
      <c r="H1173" s="7">
        <f t="shared" si="303"/>
        <v>72.006970360964445</v>
      </c>
    </row>
    <row r="1174" spans="1:8" x14ac:dyDescent="0.25">
      <c r="A1174" s="6">
        <v>45911</v>
      </c>
      <c r="B1174">
        <v>150</v>
      </c>
      <c r="C1174">
        <f>+VLOOKUP(A1174,'Undivideable Expenses'!$D$104:$AH$201,31,0)</f>
        <v>26752.45</v>
      </c>
      <c r="D1174" s="7">
        <f t="shared" si="302"/>
        <v>0.56069631005758358</v>
      </c>
      <c r="G1174" s="7">
        <f>+VLOOKUP(A1174,'Undivideable Expenses'!D$104:AG$201,30,0)</f>
        <v>4547.96</v>
      </c>
      <c r="H1174" s="7">
        <f t="shared" si="303"/>
        <v>25.500243902894876</v>
      </c>
    </row>
    <row r="1175" spans="1:8" x14ac:dyDescent="0.25">
      <c r="A1175" s="6">
        <v>45915</v>
      </c>
      <c r="B1175">
        <v>813.75</v>
      </c>
      <c r="C1175">
        <f>+VLOOKUP(A1175,'Undivideable Expenses'!$D$104:$AH$201,31,0)</f>
        <v>26345.4</v>
      </c>
      <c r="D1175" s="7">
        <f t="shared" si="302"/>
        <v>3.0887745109203122</v>
      </c>
      <c r="G1175" s="7">
        <f>+VLOOKUP(A1175,'Undivideable Expenses'!D$104:AG$201,30,0)</f>
        <v>4497.5</v>
      </c>
      <c r="H1175" s="7">
        <f t="shared" si="303"/>
        <v>138.91763362864106</v>
      </c>
    </row>
    <row r="1176" spans="1:8" x14ac:dyDescent="0.25">
      <c r="A1176" s="6">
        <v>45916</v>
      </c>
      <c r="B1176">
        <v>611.25</v>
      </c>
      <c r="C1176">
        <f>+VLOOKUP(A1176,'Undivideable Expenses'!$D$104:$AH$201,31,0)</f>
        <v>26795</v>
      </c>
      <c r="D1176" s="7">
        <f t="shared" si="302"/>
        <v>2.2812091808173167</v>
      </c>
      <c r="G1176" s="7">
        <f>+VLOOKUP(A1176,'Undivideable Expenses'!D$104:AG$201,30,0)</f>
        <v>4756.51</v>
      </c>
      <c r="H1176" s="7">
        <f t="shared" si="303"/>
        <v>108.50594280649375</v>
      </c>
    </row>
    <row r="1177" spans="1:8" x14ac:dyDescent="0.25">
      <c r="A1177" s="6">
        <v>45927</v>
      </c>
      <c r="B1177">
        <v>105</v>
      </c>
      <c r="C1177">
        <f>+VLOOKUP(A1177,'Undivideable Expenses'!$D$104:$AH$201,31,0)</f>
        <v>20695.939999999999</v>
      </c>
      <c r="D1177" s="7">
        <f t="shared" si="302"/>
        <v>0.50734588523159618</v>
      </c>
      <c r="G1177" s="7">
        <f>+VLOOKUP(A1177,'Undivideable Expenses'!D$104:AG$201,30,0)</f>
        <v>3031.71</v>
      </c>
      <c r="H1177" s="7">
        <f t="shared" si="303"/>
        <v>15.381255937154824</v>
      </c>
    </row>
    <row r="1178" spans="1:8" x14ac:dyDescent="0.25">
      <c r="A1178" s="6">
        <v>45937</v>
      </c>
      <c r="B1178">
        <v>646.25</v>
      </c>
      <c r="C1178">
        <f>+VLOOKUP(A1178,'Undivideable Expenses'!$D$104:$AH$201,31,0)</f>
        <v>21800</v>
      </c>
      <c r="D1178" s="7">
        <f t="shared" si="302"/>
        <v>2.9644495412844036</v>
      </c>
      <c r="G1178" s="7">
        <f>+VLOOKUP(A1178,'Undivideable Expenses'!D$104:AG$201,30,0)</f>
        <v>3333.5290196078427</v>
      </c>
      <c r="H1178" s="7">
        <f t="shared" si="303"/>
        <v>98.820785730347168</v>
      </c>
    </row>
    <row r="1179" spans="1:8" x14ac:dyDescent="0.25">
      <c r="A1179" s="6">
        <v>45938</v>
      </c>
      <c r="B1179">
        <v>876.25</v>
      </c>
      <c r="C1179">
        <f>+VLOOKUP(A1179,'Undivideable Expenses'!$D$104:$AH$201,31,0)</f>
        <v>22083.14</v>
      </c>
      <c r="D1179" s="7">
        <f t="shared" si="302"/>
        <v>3.967959266662259</v>
      </c>
      <c r="G1179" s="7">
        <f>+VLOOKUP(A1179,'Undivideable Expenses'!D$104:AG$201,30,0)</f>
        <v>3614.8539215686278</v>
      </c>
      <c r="H1179" s="7">
        <f t="shared" si="303"/>
        <v>143.43593115718642</v>
      </c>
    </row>
    <row r="1180" spans="1:8" x14ac:dyDescent="0.25">
      <c r="A1180" s="6">
        <v>45939</v>
      </c>
      <c r="B1180">
        <v>751.25</v>
      </c>
      <c r="C1180">
        <f>+VLOOKUP(A1180,'Undivideable Expenses'!$D$104:$AH$201,31,0)</f>
        <v>22478.76</v>
      </c>
      <c r="D1180" s="7">
        <f t="shared" si="302"/>
        <v>3.3420437782155248</v>
      </c>
      <c r="G1180" s="7">
        <f>+VLOOKUP(A1180,'Undivideable Expenses'!D$104:AG$201,30,0)</f>
        <v>3445.8135294117646</v>
      </c>
      <c r="H1180" s="7">
        <f t="shared" si="303"/>
        <v>115.16059666861466</v>
      </c>
    </row>
    <row r="1181" spans="1:8" x14ac:dyDescent="0.25">
      <c r="A1181" s="6">
        <v>45940</v>
      </c>
      <c r="B1181">
        <v>470</v>
      </c>
      <c r="C1181">
        <f>+VLOOKUP(A1181,'Undivideable Expenses'!$D$104:$AH$201,31,0)</f>
        <v>17545</v>
      </c>
      <c r="D1181" s="7">
        <f t="shared" si="302"/>
        <v>2.6788258763180393</v>
      </c>
      <c r="G1181" s="7">
        <f>+VLOOKUP(A1181,'Undivideable Expenses'!D$104:AG$201,30,0)</f>
        <v>2817.1815686274508</v>
      </c>
      <c r="H1181" s="7">
        <f t="shared" si="303"/>
        <v>75.467388843254597</v>
      </c>
    </row>
    <row r="1183" spans="1:8" x14ac:dyDescent="0.25">
      <c r="A1183" t="s">
        <v>237</v>
      </c>
    </row>
    <row r="1184" spans="1:8" x14ac:dyDescent="0.25">
      <c r="A1184" s="8" t="s">
        <v>6</v>
      </c>
      <c r="B1184" s="8" t="s">
        <v>236</v>
      </c>
      <c r="C1184" s="22" t="s">
        <v>50</v>
      </c>
      <c r="D1184" s="22" t="s">
        <v>9</v>
      </c>
    </row>
    <row r="1185" spans="1:8" x14ac:dyDescent="0.25">
      <c r="A1185" s="6">
        <v>45936</v>
      </c>
      <c r="B1185">
        <v>545</v>
      </c>
      <c r="C1185">
        <f>+VLOOKUP(A1185,'Undivideable Expenses'!$D$104:$AH$201,31,0)</f>
        <v>17012.5</v>
      </c>
      <c r="D1185" s="7">
        <f t="shared" ref="D1185" si="304">+B1185/C1185*100</f>
        <v>3.203526818515797</v>
      </c>
      <c r="G1185" s="7">
        <f>+VLOOKUP(A1185,'Undivideable Expenses'!D$104:AG$201,30,0)</f>
        <v>2950.3319607843141</v>
      </c>
      <c r="H1185" s="7">
        <f t="shared" ref="H1185" si="305">+G1185/100*D1185</f>
        <v>94.514675598968481</v>
      </c>
    </row>
    <row r="1186" spans="1:8" x14ac:dyDescent="0.25">
      <c r="A1186" s="6">
        <v>45937</v>
      </c>
      <c r="B1186">
        <v>2382.5</v>
      </c>
      <c r="C1186">
        <f>+VLOOKUP(A1186,'Undivideable Expenses'!$D$104:$AH$201,31,0)</f>
        <v>21800</v>
      </c>
      <c r="D1186" s="7">
        <f t="shared" ref="D1186:D1195" si="306">+B1186/C1186*100</f>
        <v>10.928899082568808</v>
      </c>
      <c r="G1186" s="7">
        <f>+VLOOKUP(A1186,'Undivideable Expenses'!D$104:AG$201,30,0)</f>
        <v>3333.5290196078427</v>
      </c>
      <c r="H1186" s="7">
        <f t="shared" ref="H1186:H1195" si="307">+G1186/100*D1186</f>
        <v>364.3180224410865</v>
      </c>
    </row>
    <row r="1187" spans="1:8" x14ac:dyDescent="0.25">
      <c r="A1187" s="6">
        <v>45938</v>
      </c>
      <c r="B1187">
        <v>3505</v>
      </c>
      <c r="C1187">
        <f>+VLOOKUP(A1187,'Undivideable Expenses'!$D$104:$AH$201,31,0)</f>
        <v>22083.14</v>
      </c>
      <c r="D1187" s="7">
        <f t="shared" si="306"/>
        <v>15.871837066649036</v>
      </c>
      <c r="G1187" s="7">
        <f>+VLOOKUP(A1187,'Undivideable Expenses'!D$104:AG$201,30,0)</f>
        <v>3614.8539215686278</v>
      </c>
      <c r="H1187" s="7">
        <f t="shared" si="307"/>
        <v>573.74372462874567</v>
      </c>
    </row>
    <row r="1188" spans="1:8" x14ac:dyDescent="0.25">
      <c r="A1188" s="6">
        <v>45939</v>
      </c>
      <c r="B1188">
        <v>4752.5</v>
      </c>
      <c r="C1188">
        <f>+VLOOKUP(A1188,'Undivideable Expenses'!$D$104:$AH$201,31,0)</f>
        <v>22478.76</v>
      </c>
      <c r="D1188" s="7">
        <f t="shared" si="306"/>
        <v>21.142180440558111</v>
      </c>
      <c r="G1188" s="7">
        <f>+VLOOKUP(A1188,'Undivideable Expenses'!D$104:AG$201,30,0)</f>
        <v>3445.8135294117646</v>
      </c>
      <c r="H1188" s="7">
        <f t="shared" si="307"/>
        <v>728.52011403339918</v>
      </c>
    </row>
    <row r="1189" spans="1:8" x14ac:dyDescent="0.25">
      <c r="A1189" s="6">
        <v>45940</v>
      </c>
      <c r="B1189">
        <v>3338.75</v>
      </c>
      <c r="C1189">
        <f>+VLOOKUP(A1189,'Undivideable Expenses'!$D$104:$AH$201,31,0)</f>
        <v>17545</v>
      </c>
      <c r="D1189" s="7">
        <f t="shared" si="306"/>
        <v>19.02963807352522</v>
      </c>
      <c r="G1189" s="7">
        <f>+VLOOKUP(A1189,'Undivideable Expenses'!D$104:AG$201,30,0)</f>
        <v>2817.1815686274508</v>
      </c>
      <c r="H1189" s="7">
        <f t="shared" si="307"/>
        <v>536.09945638386444</v>
      </c>
    </row>
    <row r="1190" spans="1:8" x14ac:dyDescent="0.25">
      <c r="A1190" s="6">
        <v>45941</v>
      </c>
      <c r="B1190">
        <v>2181.25</v>
      </c>
      <c r="C1190">
        <f>+VLOOKUP(A1190,'Undivideable Expenses'!$D$104:$AH$201,31,0)</f>
        <v>19220</v>
      </c>
      <c r="D1190" s="7">
        <f t="shared" si="306"/>
        <v>11.348855359001041</v>
      </c>
      <c r="G1190" s="7">
        <f>+VLOOKUP(A1190,'Undivideable Expenses'!D$104:AG$201,30,0)</f>
        <v>3711.4678431372545</v>
      </c>
      <c r="H1190" s="7">
        <f t="shared" si="307"/>
        <v>421.20911721348267</v>
      </c>
    </row>
    <row r="1191" spans="1:8" x14ac:dyDescent="0.25">
      <c r="A1191" s="6">
        <v>45943</v>
      </c>
      <c r="B1191">
        <v>2765</v>
      </c>
      <c r="C1191">
        <f>+VLOOKUP(A1191,'Undivideable Expenses'!$D$104:$AH$201,31,0)</f>
        <v>16090</v>
      </c>
      <c r="D1191" s="7">
        <f t="shared" si="306"/>
        <v>17.184586699813547</v>
      </c>
      <c r="G1191" s="7">
        <f>+VLOOKUP(A1191,'Undivideable Expenses'!D$104:AG$201,30,0)</f>
        <v>4156.0586274509806</v>
      </c>
      <c r="H1191" s="7">
        <f t="shared" si="307"/>
        <v>714.20149812939462</v>
      </c>
    </row>
    <row r="1192" spans="1:8" x14ac:dyDescent="0.25">
      <c r="A1192" s="6">
        <v>45944</v>
      </c>
      <c r="B1192">
        <v>2868.75</v>
      </c>
      <c r="C1192">
        <f>+VLOOKUP(A1192,'Undivideable Expenses'!$D$104:$AH$201,31,0)</f>
        <v>15526.25</v>
      </c>
      <c r="D1192" s="7">
        <f t="shared" si="306"/>
        <v>18.476773206666131</v>
      </c>
      <c r="G1192" s="7">
        <f>+VLOOKUP(A1192,'Undivideable Expenses'!D$104:AG$201,30,0)</f>
        <v>3114.9388235294118</v>
      </c>
      <c r="H1192" s="7">
        <f t="shared" si="307"/>
        <v>575.54018194992352</v>
      </c>
    </row>
    <row r="1193" spans="1:8" x14ac:dyDescent="0.25">
      <c r="A1193" s="6">
        <v>45945</v>
      </c>
      <c r="B1193">
        <v>1307.5</v>
      </c>
      <c r="C1193">
        <f>+VLOOKUP(A1193,'Undivideable Expenses'!$D$104:$AH$201,31,0)</f>
        <v>15747.5</v>
      </c>
      <c r="D1193" s="7">
        <f t="shared" si="306"/>
        <v>8.3029052230512779</v>
      </c>
      <c r="G1193" s="7">
        <f>+VLOOKUP(A1193,'Undivideable Expenses'!D$104:AG$201,30,0)</f>
        <v>3951.51431372549</v>
      </c>
      <c r="H1193" s="7">
        <f t="shared" si="307"/>
        <v>328.09048834393258</v>
      </c>
    </row>
    <row r="1194" spans="1:8" x14ac:dyDescent="0.25">
      <c r="A1194" s="6">
        <v>45946</v>
      </c>
      <c r="B1194">
        <v>2207.5</v>
      </c>
      <c r="C1194">
        <f>+VLOOKUP(A1194,'Undivideable Expenses'!$D$104:$AH$201,31,0)</f>
        <v>15233.76</v>
      </c>
      <c r="D1194" s="7">
        <f t="shared" si="306"/>
        <v>14.4908413943767</v>
      </c>
      <c r="G1194" s="7">
        <f>+VLOOKUP(A1194,'Undivideable Expenses'!D$104:AG$201,30,0)</f>
        <v>3988.4435294117652</v>
      </c>
      <c r="H1194" s="7">
        <f t="shared" si="307"/>
        <v>577.95902595133907</v>
      </c>
    </row>
    <row r="1195" spans="1:8" x14ac:dyDescent="0.25">
      <c r="A1195" s="6">
        <v>45947</v>
      </c>
      <c r="B1195">
        <v>1613.75</v>
      </c>
      <c r="C1195">
        <f>+VLOOKUP(A1195,'Undivideable Expenses'!$D$104:$AH$201,31,0)</f>
        <v>15503.76</v>
      </c>
      <c r="D1195" s="7">
        <f t="shared" si="306"/>
        <v>10.408765357564874</v>
      </c>
      <c r="G1195" s="7">
        <f>+VLOOKUP(A1195,'Undivideable Expenses'!D$104:AG$201,30,0)</f>
        <v>3948.3239215686281</v>
      </c>
      <c r="H1195" s="7">
        <f t="shared" si="307"/>
        <v>410.9717725526823</v>
      </c>
    </row>
    <row r="1197" spans="1:8" x14ac:dyDescent="0.25">
      <c r="A1197" t="s">
        <v>238</v>
      </c>
    </row>
    <row r="1198" spans="1:8" x14ac:dyDescent="0.25">
      <c r="A1198" s="8" t="s">
        <v>6</v>
      </c>
      <c r="B1198" s="8" t="s">
        <v>239</v>
      </c>
      <c r="C1198" s="22" t="s">
        <v>50</v>
      </c>
      <c r="D1198" s="22" t="s">
        <v>9</v>
      </c>
    </row>
    <row r="1199" spans="1:8" x14ac:dyDescent="0.25">
      <c r="A1199" s="6">
        <v>45937</v>
      </c>
      <c r="B1199" s="7">
        <v>250</v>
      </c>
      <c r="C1199">
        <f>+VLOOKUP(A1199,'Undivideable Expenses'!$D$104:$AH$201,31,0)</f>
        <v>21800</v>
      </c>
      <c r="D1199" s="7">
        <f t="shared" ref="D1199" si="308">+B1199/C1199*100</f>
        <v>1.1467889908256881</v>
      </c>
      <c r="G1199" s="7">
        <f>+VLOOKUP(A1199,'Undivideable Expenses'!D$104:AG$201,30,0)</f>
        <v>3333.5290196078427</v>
      </c>
      <c r="H1199" s="7">
        <f t="shared" ref="H1199" si="309">+G1199/100*D1199</f>
        <v>38.228543802842232</v>
      </c>
    </row>
    <row r="1200" spans="1:8" x14ac:dyDescent="0.25">
      <c r="A1200" s="6">
        <v>45938</v>
      </c>
      <c r="B1200" s="7">
        <v>237.5</v>
      </c>
      <c r="C1200">
        <f>+VLOOKUP(A1200,'Undivideable Expenses'!$D$104:$AH$201,31,0)</f>
        <v>22083.14</v>
      </c>
      <c r="D1200" s="7">
        <f t="shared" ref="D1200" si="310">+B1200/C1200*100</f>
        <v>1.0754811136459761</v>
      </c>
      <c r="G1200" s="7">
        <f>+VLOOKUP(A1200,'Undivideable Expenses'!D$104:AG$201,30,0)</f>
        <v>3614.8539215686278</v>
      </c>
      <c r="H1200" s="7">
        <f t="shared" ref="H1200" si="311">+G1200/100*D1200</f>
        <v>38.877071212361514</v>
      </c>
    </row>
    <row r="1202" spans="1:8" x14ac:dyDescent="0.25">
      <c r="A1202" t="s">
        <v>241</v>
      </c>
    </row>
    <row r="1203" spans="1:8" x14ac:dyDescent="0.25">
      <c r="A1203" s="8" t="s">
        <v>6</v>
      </c>
      <c r="B1203" s="8" t="s">
        <v>240</v>
      </c>
      <c r="C1203" s="22" t="s">
        <v>50</v>
      </c>
      <c r="D1203" s="22" t="s">
        <v>9</v>
      </c>
    </row>
    <row r="1204" spans="1:8" x14ac:dyDescent="0.25">
      <c r="A1204" s="6">
        <v>45938</v>
      </c>
      <c r="B1204" s="7">
        <v>442.5</v>
      </c>
      <c r="C1204">
        <f>+VLOOKUP(A1204,'Undivideable Expenses'!$D$104:$AH$201,31,0)</f>
        <v>22083.14</v>
      </c>
      <c r="D1204" s="7">
        <f t="shared" ref="D1204" si="312">+B1204/C1204*100</f>
        <v>2.0037911275298712</v>
      </c>
      <c r="G1204" s="7">
        <f>+VLOOKUP(A1204,'Undivideable Expenses'!D$104:AG$201,30,0)</f>
        <v>3614.8539215686278</v>
      </c>
      <c r="H1204" s="7">
        <f t="shared" ref="H1204" si="313">+G1204/100*D1204</f>
        <v>72.434122153557766</v>
      </c>
    </row>
    <row r="1205" spans="1:8" x14ac:dyDescent="0.25">
      <c r="A1205" s="6">
        <v>45939</v>
      </c>
      <c r="B1205" s="7">
        <v>936.25</v>
      </c>
      <c r="C1205">
        <f>+VLOOKUP(A1205,'Undivideable Expenses'!$D$104:$AH$201,31,0)</f>
        <v>22478.76</v>
      </c>
      <c r="D1205" s="7">
        <f t="shared" ref="D1205:D1212" si="314">+B1205/C1205*100</f>
        <v>4.1650429116196808</v>
      </c>
      <c r="G1205" s="7">
        <f>+VLOOKUP(A1205,'Undivideable Expenses'!D$104:AG$201,30,0)</f>
        <v>3445.8135294117646</v>
      </c>
      <c r="H1205" s="7">
        <f t="shared" ref="H1205:H1212" si="315">+G1205/100*D1205</f>
        <v>143.51961215439664</v>
      </c>
    </row>
    <row r="1206" spans="1:8" x14ac:dyDescent="0.25">
      <c r="A1206" s="6">
        <v>45940</v>
      </c>
      <c r="B1206" s="7">
        <v>582.5</v>
      </c>
      <c r="C1206">
        <f>+VLOOKUP(A1206,'Undivideable Expenses'!$D$104:$AH$201,31,0)</f>
        <v>17545</v>
      </c>
      <c r="D1206" s="7">
        <f t="shared" si="314"/>
        <v>3.3200341977771441</v>
      </c>
      <c r="G1206" s="7">
        <f>+VLOOKUP(A1206,'Undivideable Expenses'!D$104:AG$201,30,0)</f>
        <v>2817.1815686274508</v>
      </c>
      <c r="H1206" s="7">
        <f t="shared" si="315"/>
        <v>93.531391491905964</v>
      </c>
    </row>
    <row r="1207" spans="1:8" x14ac:dyDescent="0.25">
      <c r="A1207" s="6">
        <v>45941</v>
      </c>
      <c r="B1207" s="7">
        <v>515</v>
      </c>
      <c r="C1207">
        <f>+VLOOKUP(A1207,'Undivideable Expenses'!$D$104:$AH$201,31,0)</f>
        <v>19220</v>
      </c>
      <c r="D1207" s="7">
        <f t="shared" si="314"/>
        <v>2.6795005202913629</v>
      </c>
      <c r="G1207" s="7">
        <f>+VLOOKUP(A1207,'Undivideable Expenses'!D$104:AG$201,30,0)</f>
        <v>3711.4678431372545</v>
      </c>
      <c r="H1207" s="7">
        <f t="shared" si="315"/>
        <v>99.448800167309358</v>
      </c>
    </row>
    <row r="1208" spans="1:8" x14ac:dyDescent="0.25">
      <c r="A1208" s="6">
        <v>45943</v>
      </c>
      <c r="B1208" s="7">
        <v>215</v>
      </c>
      <c r="C1208">
        <f>+VLOOKUP(A1208,'Undivideable Expenses'!$D$104:$AH$201,31,0)</f>
        <v>16090</v>
      </c>
      <c r="D1208" s="7">
        <f t="shared" si="314"/>
        <v>1.3362336855189558</v>
      </c>
      <c r="G1208" s="7">
        <f>+VLOOKUP(A1208,'Undivideable Expenses'!D$104:AG$201,30,0)</f>
        <v>4156.0586274509806</v>
      </c>
      <c r="H1208" s="7">
        <f t="shared" si="315"/>
        <v>55.534655369916763</v>
      </c>
    </row>
    <row r="1209" spans="1:8" x14ac:dyDescent="0.25">
      <c r="A1209" s="6">
        <v>45944</v>
      </c>
      <c r="B1209" s="7">
        <v>1855</v>
      </c>
      <c r="C1209">
        <f>+VLOOKUP(A1209,'Undivideable Expenses'!$D$104:$AH$201,31,0)</f>
        <v>15526.25</v>
      </c>
      <c r="D1209" s="7">
        <f t="shared" si="314"/>
        <v>11.947508252153611</v>
      </c>
      <c r="G1209" s="7">
        <f>+VLOOKUP(A1209,'Undivideable Expenses'!D$104:AG$201,30,0)</f>
        <v>3114.9388235294118</v>
      </c>
      <c r="H1209" s="7">
        <f t="shared" si="315"/>
        <v>372.15757299071311</v>
      </c>
    </row>
    <row r="1210" spans="1:8" x14ac:dyDescent="0.25">
      <c r="A1210" s="6">
        <v>45945</v>
      </c>
      <c r="B1210" s="7">
        <v>1806.25</v>
      </c>
      <c r="C1210">
        <f>+VLOOKUP(A1210,'Undivideable Expenses'!$D$104:$AH$201,31,0)</f>
        <v>15747.5</v>
      </c>
      <c r="D1210" s="7">
        <f t="shared" si="314"/>
        <v>11.470074615018257</v>
      </c>
      <c r="G1210" s="7">
        <f>+VLOOKUP(A1210,'Undivideable Expenses'!D$104:AG$201,30,0)</f>
        <v>3951.51431372549</v>
      </c>
      <c r="H1210" s="7">
        <f t="shared" si="315"/>
        <v>453.24164020744035</v>
      </c>
    </row>
    <row r="1211" spans="1:8" x14ac:dyDescent="0.25">
      <c r="A1211" s="6">
        <v>45946</v>
      </c>
      <c r="B1211" s="7">
        <v>701.25</v>
      </c>
      <c r="C1211">
        <f>+VLOOKUP(A1211,'Undivideable Expenses'!$D$104:$AH$201,31,0)</f>
        <v>15233.76</v>
      </c>
      <c r="D1211" s="7">
        <f t="shared" si="314"/>
        <v>4.6032627532533006</v>
      </c>
      <c r="G1211" s="7">
        <f>+VLOOKUP(A1211,'Undivideable Expenses'!D$104:AG$201,30,0)</f>
        <v>3988.4435294117652</v>
      </c>
      <c r="H1211" s="7">
        <f t="shared" si="315"/>
        <v>183.59853542395314</v>
      </c>
    </row>
    <row r="1212" spans="1:8" x14ac:dyDescent="0.25">
      <c r="A1212" s="6">
        <v>45947</v>
      </c>
      <c r="B1212" s="7">
        <v>193.75</v>
      </c>
      <c r="C1212">
        <f>+VLOOKUP(A1212,'Undivideable Expenses'!$D$104:$AH$201,31,0)</f>
        <v>15503.76</v>
      </c>
      <c r="D1212" s="7">
        <f t="shared" si="314"/>
        <v>1.2496968477324211</v>
      </c>
      <c r="G1212" s="7">
        <f>+VLOOKUP(A1212,'Undivideable Expenses'!D$104:AG$201,30,0)</f>
        <v>3948.3239215686281</v>
      </c>
      <c r="H1212" s="7">
        <f t="shared" si="315"/>
        <v>49.342079586108255</v>
      </c>
    </row>
    <row r="1214" spans="1:8" x14ac:dyDescent="0.25">
      <c r="A1214" t="s">
        <v>243</v>
      </c>
    </row>
    <row r="1215" spans="1:8" x14ac:dyDescent="0.25">
      <c r="A1215" s="8" t="s">
        <v>6</v>
      </c>
      <c r="B1215" s="8" t="s">
        <v>242</v>
      </c>
      <c r="C1215" s="22" t="s">
        <v>50</v>
      </c>
      <c r="D1215" s="22" t="s">
        <v>9</v>
      </c>
    </row>
    <row r="1216" spans="1:8" x14ac:dyDescent="0.25">
      <c r="A1216" s="6">
        <v>45938</v>
      </c>
      <c r="B1216" s="7">
        <v>1892.5</v>
      </c>
      <c r="C1216">
        <f>+VLOOKUP(A1216,'Undivideable Expenses'!$D$104:$AH$201,31,0)</f>
        <v>22083.14</v>
      </c>
      <c r="D1216" s="7">
        <f t="shared" ref="D1216:D1218" si="316">+B1216/C1216*100</f>
        <v>8.5698863476842515</v>
      </c>
      <c r="G1216" s="7">
        <f>+VLOOKUP(A1216,'Undivideable Expenses'!D$104:AG$201,30,0)</f>
        <v>3614.8539215686278</v>
      </c>
      <c r="H1216" s="7">
        <f t="shared" ref="H1216:H1218" si="317">+G1216/100*D1216</f>
        <v>309.78887271323862</v>
      </c>
    </row>
    <row r="1217" spans="1:8" x14ac:dyDescent="0.25">
      <c r="A1217" s="6">
        <v>45939</v>
      </c>
      <c r="B1217" s="7">
        <v>5850.0121905476371</v>
      </c>
      <c r="C1217">
        <f>+VLOOKUP(A1217,'Undivideable Expenses'!$D$104:$AH$201,31,0)</f>
        <v>22478.76</v>
      </c>
      <c r="D1217" s="7">
        <f t="shared" si="316"/>
        <v>26.024621422834876</v>
      </c>
      <c r="G1217" s="7">
        <f>+VLOOKUP(A1217,'Undivideable Expenses'!D$104:AG$201,30,0)</f>
        <v>3445.8135294117646</v>
      </c>
      <c r="H1217" s="7">
        <f t="shared" si="317"/>
        <v>896.75992596623666</v>
      </c>
    </row>
    <row r="1218" spans="1:8" x14ac:dyDescent="0.25">
      <c r="A1218" s="6">
        <v>45940</v>
      </c>
      <c r="B1218" s="7">
        <v>5062.5</v>
      </c>
      <c r="C1218">
        <f>+VLOOKUP(A1218,'Undivideable Expenses'!$D$104:$AH$201,31,0)</f>
        <v>17545</v>
      </c>
      <c r="D1218" s="7">
        <f t="shared" si="316"/>
        <v>28.854374465659731</v>
      </c>
      <c r="G1218" s="7">
        <f>+VLOOKUP(A1218,'Undivideable Expenses'!D$104:AG$201,30,0)</f>
        <v>2817.1815686274508</v>
      </c>
      <c r="H1218" s="7">
        <f t="shared" si="317"/>
        <v>812.88011918931147</v>
      </c>
    </row>
    <row r="1219" spans="1:8" x14ac:dyDescent="0.25">
      <c r="A1219" s="6">
        <v>45941</v>
      </c>
      <c r="B1219" s="7">
        <v>4655</v>
      </c>
      <c r="C1219">
        <f>+VLOOKUP(A1219,'Undivideable Expenses'!$D$104:$AH$201,31,0)</f>
        <v>19220</v>
      </c>
      <c r="D1219" s="7">
        <f t="shared" ref="D1219:D1221" si="318">+B1219/C1219*100</f>
        <v>24.219562955254943</v>
      </c>
      <c r="G1219" s="7">
        <f>+VLOOKUP(A1219,'Undivideable Expenses'!D$104:AG$201,30,0)</f>
        <v>3711.4678431372545</v>
      </c>
      <c r="H1219" s="7">
        <f t="shared" ref="H1219:H1221" si="319">+G1219/100*D1219</f>
        <v>898.90129083267016</v>
      </c>
    </row>
    <row r="1220" spans="1:8" x14ac:dyDescent="0.25">
      <c r="A1220" s="6">
        <v>45943</v>
      </c>
      <c r="B1220" s="7">
        <v>180</v>
      </c>
      <c r="C1220">
        <f>+VLOOKUP(A1220,'Undivideable Expenses'!$D$104:$AH$201,31,0)</f>
        <v>16090</v>
      </c>
      <c r="D1220" s="7">
        <f t="shared" si="318"/>
        <v>1.1187072715972655</v>
      </c>
      <c r="G1220" s="7">
        <f>+VLOOKUP(A1220,'Undivideable Expenses'!D$104:AG$201,30,0)</f>
        <v>4156.0586274509806</v>
      </c>
      <c r="H1220" s="7">
        <f t="shared" si="319"/>
        <v>46.494130077139623</v>
      </c>
    </row>
    <row r="1221" spans="1:8" x14ac:dyDescent="0.25">
      <c r="A1221" s="6">
        <v>45944</v>
      </c>
      <c r="B1221" s="7">
        <v>300</v>
      </c>
      <c r="C1221">
        <f>+VLOOKUP(A1221,'Undivideable Expenses'!$D$104:$AH$201,31,0)</f>
        <v>15526.25</v>
      </c>
      <c r="D1221" s="7">
        <f t="shared" si="318"/>
        <v>1.9322115771676998</v>
      </c>
      <c r="G1221" s="7">
        <f>+VLOOKUP(A1221,'Undivideable Expenses'!D$104:AG$201,30,0)</f>
        <v>3114.9388235294118</v>
      </c>
      <c r="H1221" s="7">
        <f t="shared" si="319"/>
        <v>60.187208569926639</v>
      </c>
    </row>
    <row r="1222" spans="1:8" x14ac:dyDescent="0.25">
      <c r="A1222" s="6"/>
      <c r="B1222" s="7"/>
      <c r="D1222" s="7"/>
      <c r="G1222" s="7"/>
      <c r="H1222" s="7"/>
    </row>
    <row r="1223" spans="1:8" x14ac:dyDescent="0.25">
      <c r="A1223" t="s">
        <v>245</v>
      </c>
    </row>
    <row r="1224" spans="1:8" x14ac:dyDescent="0.25">
      <c r="A1224" s="8" t="s">
        <v>6</v>
      </c>
      <c r="B1224" s="8" t="s">
        <v>244</v>
      </c>
      <c r="C1224" s="22" t="s">
        <v>50</v>
      </c>
      <c r="D1224" s="22" t="s">
        <v>9</v>
      </c>
    </row>
    <row r="1225" spans="1:8" x14ac:dyDescent="0.25">
      <c r="A1225" s="6">
        <v>45938</v>
      </c>
      <c r="B1225" s="7">
        <v>250</v>
      </c>
      <c r="C1225">
        <f>+VLOOKUP(A1225,'Undivideable Expenses'!$D$104:$AH$201,31,0)</f>
        <v>22083.14</v>
      </c>
      <c r="D1225" s="7">
        <f t="shared" ref="D1225:D1226" si="320">+B1225/C1225*100</f>
        <v>1.132085382785238</v>
      </c>
      <c r="G1225" s="7">
        <f>+VLOOKUP(A1225,'Undivideable Expenses'!D$104:AG$201,30,0)</f>
        <v>3614.8539215686278</v>
      </c>
      <c r="H1225" s="7">
        <f t="shared" ref="H1225:H1226" si="321">+G1225/100*D1225</f>
        <v>40.923232855117384</v>
      </c>
    </row>
    <row r="1226" spans="1:8" x14ac:dyDescent="0.25">
      <c r="A1226" s="6">
        <v>45943</v>
      </c>
      <c r="B1226" s="7">
        <v>290</v>
      </c>
      <c r="C1226">
        <f>+VLOOKUP(A1226,'Undivideable Expenses'!$D$104:$AH$201,31,0)</f>
        <v>16090</v>
      </c>
      <c r="D1226" s="7">
        <f t="shared" si="320"/>
        <v>1.8023617153511498</v>
      </c>
      <c r="G1226" s="7">
        <f>+VLOOKUP(A1226,'Undivideable Expenses'!D$104:AG$201,30,0)</f>
        <v>4156.0586274509806</v>
      </c>
      <c r="H1226" s="7">
        <f t="shared" si="321"/>
        <v>74.907209568724937</v>
      </c>
    </row>
    <row r="1228" spans="1:8" x14ac:dyDescent="0.25">
      <c r="A1228" t="s">
        <v>247</v>
      </c>
    </row>
    <row r="1229" spans="1:8" x14ac:dyDescent="0.25">
      <c r="A1229" s="8" t="s">
        <v>6</v>
      </c>
      <c r="B1229" s="8" t="s">
        <v>246</v>
      </c>
      <c r="C1229" s="22" t="s">
        <v>50</v>
      </c>
      <c r="D1229" s="22" t="s">
        <v>9</v>
      </c>
    </row>
    <row r="1230" spans="1:8" x14ac:dyDescent="0.25">
      <c r="A1230" s="6">
        <v>45939</v>
      </c>
      <c r="B1230" s="7">
        <v>450</v>
      </c>
      <c r="C1230">
        <f>+VLOOKUP(A1230,'Undivideable Expenses'!$D$104:$AH$201,31,0)</f>
        <v>22478.76</v>
      </c>
      <c r="D1230" s="7">
        <f t="shared" ref="D1230" si="322">+B1230/C1230*100</f>
        <v>2.0018897839560545</v>
      </c>
      <c r="G1230" s="7">
        <f>+VLOOKUP(A1230,'Undivideable Expenses'!D$104:AG$201,30,0)</f>
        <v>3445.8135294117646</v>
      </c>
      <c r="H1230" s="7">
        <f t="shared" ref="H1230" si="323">+G1230/100*D1230</f>
        <v>68.981389019469674</v>
      </c>
    </row>
    <row r="1231" spans="1:8" x14ac:dyDescent="0.25">
      <c r="A1231" s="6"/>
      <c r="B1231" s="7"/>
    </row>
    <row r="1232" spans="1:8" x14ac:dyDescent="0.25">
      <c r="A1232" t="s">
        <v>249</v>
      </c>
    </row>
    <row r="1233" spans="1:8" x14ac:dyDescent="0.25">
      <c r="A1233" s="8" t="s">
        <v>6</v>
      </c>
      <c r="B1233" s="8" t="s">
        <v>248</v>
      </c>
      <c r="C1233" s="22" t="s">
        <v>50</v>
      </c>
      <c r="D1233" s="22" t="s">
        <v>9</v>
      </c>
    </row>
    <row r="1234" spans="1:8" x14ac:dyDescent="0.25">
      <c r="A1234" s="6">
        <v>45940</v>
      </c>
      <c r="B1234" s="7">
        <v>90</v>
      </c>
      <c r="C1234">
        <f>+VLOOKUP(A1234,'Undivideable Expenses'!$D$104:$AH$201,31,0)</f>
        <v>17545</v>
      </c>
      <c r="D1234" s="7">
        <f t="shared" ref="D1234" si="324">+B1234/C1234*100</f>
        <v>0.51296665716728418</v>
      </c>
      <c r="G1234" s="7">
        <f>+VLOOKUP(A1234,'Undivideable Expenses'!D$104:AG$201,30,0)</f>
        <v>2817.1815686274508</v>
      </c>
      <c r="H1234" s="7">
        <f t="shared" ref="H1234" si="325">+G1234/100*D1234</f>
        <v>14.451202118921096</v>
      </c>
    </row>
    <row r="1235" spans="1:8" x14ac:dyDescent="0.25">
      <c r="A1235" s="6">
        <v>45946</v>
      </c>
      <c r="B1235" s="7">
        <v>465</v>
      </c>
      <c r="C1235">
        <f>+VLOOKUP(A1235,'Undivideable Expenses'!$D$104:$AH$201,31,0)</f>
        <v>15233.76</v>
      </c>
      <c r="D1235" s="7">
        <f t="shared" ref="D1235:D1236" si="326">+B1235/C1235*100</f>
        <v>3.0524309165957715</v>
      </c>
      <c r="G1235" s="7">
        <f>+VLOOKUP(A1235,'Undivideable Expenses'!D$104:AG$201,30,0)</f>
        <v>3988.4435294117652</v>
      </c>
      <c r="H1235" s="7">
        <f t="shared" ref="H1235:H1236" si="327">+G1235/100*D1235</f>
        <v>121.74448338272828</v>
      </c>
    </row>
    <row r="1236" spans="1:8" x14ac:dyDescent="0.25">
      <c r="A1236" s="6">
        <v>45947</v>
      </c>
      <c r="B1236" s="7">
        <v>823.75</v>
      </c>
      <c r="C1236">
        <f>+VLOOKUP(A1236,'Undivideable Expenses'!$D$104:$AH$201,31,0)</f>
        <v>15503.76</v>
      </c>
      <c r="D1236" s="7">
        <f t="shared" si="326"/>
        <v>5.3132272429397771</v>
      </c>
      <c r="G1236" s="7">
        <f>+VLOOKUP(A1236,'Undivideable Expenses'!D$104:AG$201,30,0)</f>
        <v>3948.3239215686281</v>
      </c>
      <c r="H1236" s="7">
        <f t="shared" si="327"/>
        <v>209.78342224029251</v>
      </c>
    </row>
    <row r="1239" spans="1:8" x14ac:dyDescent="0.25">
      <c r="A1239" t="s">
        <v>250</v>
      </c>
    </row>
    <row r="1240" spans="1:8" x14ac:dyDescent="0.25">
      <c r="A1240" s="8" t="s">
        <v>6</v>
      </c>
      <c r="B1240" s="8" t="s">
        <v>251</v>
      </c>
      <c r="C1240" s="22" t="s">
        <v>50</v>
      </c>
      <c r="D1240" s="22" t="s">
        <v>9</v>
      </c>
    </row>
    <row r="1241" spans="1:8" x14ac:dyDescent="0.25">
      <c r="A1241" s="6">
        <v>45846</v>
      </c>
      <c r="B1241">
        <v>172.5</v>
      </c>
      <c r="C1241">
        <v>20686</v>
      </c>
      <c r="D1241" s="7">
        <f t="shared" ref="D1241" si="328">+B1241/C1241*100</f>
        <v>0.83389732186019538</v>
      </c>
      <c r="G1241" s="7">
        <v>4242.09</v>
      </c>
      <c r="H1241" s="7">
        <f t="shared" ref="H1241" si="329">+G1241/100*D1241</f>
        <v>35.374674900899166</v>
      </c>
    </row>
    <row r="1242" spans="1:8" x14ac:dyDescent="0.25">
      <c r="A1242" s="6">
        <v>45873</v>
      </c>
      <c r="B1242">
        <v>775</v>
      </c>
      <c r="C1242">
        <f>+VLOOKUP(A1242,'Undivideable Expenses'!$D$104:$AH$201,25,0)</f>
        <v>18660</v>
      </c>
      <c r="D1242" s="7">
        <f t="shared" ref="D1242:D1259" si="330">+B1242/C1242*100</f>
        <v>4.153269024651661</v>
      </c>
      <c r="G1242" s="7">
        <f>+VLOOKUP(A1242,'Undivideable Expenses'!D$104:AG$201,24,0)</f>
        <v>3492.6099999999997</v>
      </c>
      <c r="H1242" s="7">
        <f t="shared" ref="H1242:H1259" si="331">+G1242/100*D1242</f>
        <v>145.05748928188638</v>
      </c>
    </row>
    <row r="1243" spans="1:8" x14ac:dyDescent="0.25">
      <c r="A1243" s="6">
        <v>45874</v>
      </c>
      <c r="B1243">
        <v>4722.5</v>
      </c>
      <c r="C1243">
        <f>+VLOOKUP(A1243,'Undivideable Expenses'!$D$104:$AH$201,25,0)</f>
        <v>22530</v>
      </c>
      <c r="D1243" s="7">
        <f t="shared" si="330"/>
        <v>20.960940967598756</v>
      </c>
      <c r="G1243" s="7">
        <f>+VLOOKUP(A1243,'Undivideable Expenses'!D$104:AG$201,24,0)</f>
        <v>3340.7999999999997</v>
      </c>
      <c r="H1243" s="7">
        <f t="shared" si="331"/>
        <v>700.26311584553912</v>
      </c>
    </row>
    <row r="1244" spans="1:8" x14ac:dyDescent="0.25">
      <c r="A1244" s="6">
        <v>45875</v>
      </c>
      <c r="B1244">
        <v>5300</v>
      </c>
      <c r="C1244">
        <f>+VLOOKUP(A1244,'Undivideable Expenses'!$D$104:$AH$201,25,0)</f>
        <v>23607.5</v>
      </c>
      <c r="D1244" s="7">
        <f t="shared" si="330"/>
        <v>22.450492428253732</v>
      </c>
      <c r="G1244" s="7">
        <f>+VLOOKUP(A1244,'Undivideable Expenses'!D$104:AG$201,24,0)</f>
        <v>4156.72</v>
      </c>
      <c r="H1244" s="7">
        <f t="shared" si="331"/>
        <v>933.20410886370848</v>
      </c>
    </row>
    <row r="1245" spans="1:8" x14ac:dyDescent="0.25">
      <c r="A1245" s="6">
        <v>45876</v>
      </c>
      <c r="B1245">
        <v>5387.5</v>
      </c>
      <c r="C1245">
        <f>+VLOOKUP(A1245,'Undivideable Expenses'!$D$104:$AH$201,25,0)</f>
        <v>22606.25</v>
      </c>
      <c r="D1245" s="7">
        <f t="shared" si="330"/>
        <v>23.831904893558196</v>
      </c>
      <c r="G1245" s="7">
        <f>+VLOOKUP(A1245,'Undivideable Expenses'!D$104:AG$201,24,0)</f>
        <v>4386.2</v>
      </c>
      <c r="H1245" s="7">
        <f t="shared" si="331"/>
        <v>1045.3150124412496</v>
      </c>
    </row>
    <row r="1246" spans="1:8" x14ac:dyDescent="0.25">
      <c r="A1246" s="6">
        <v>45877</v>
      </c>
      <c r="B1246">
        <v>9006.25</v>
      </c>
      <c r="C1246">
        <f>+VLOOKUP(A1246,'Undivideable Expenses'!$D$104:$AH$201,25,0)</f>
        <v>23016.25</v>
      </c>
      <c r="D1246" s="7">
        <f t="shared" si="330"/>
        <v>39.129962526475857</v>
      </c>
      <c r="G1246" s="7">
        <f>+VLOOKUP(A1246,'Undivideable Expenses'!D$104:AG$201,24,0)</f>
        <v>4684.3999999999996</v>
      </c>
      <c r="H1246" s="7">
        <f t="shared" si="331"/>
        <v>1833.0039645902348</v>
      </c>
    </row>
    <row r="1247" spans="1:8" x14ac:dyDescent="0.25">
      <c r="A1247" s="6">
        <v>45880</v>
      </c>
      <c r="B1247">
        <v>9003.125</v>
      </c>
      <c r="C1247">
        <f>+VLOOKUP(A1247,'Undivideable Expenses'!$D$104:$AH$201,25,0)</f>
        <v>16622.5</v>
      </c>
      <c r="D1247" s="7">
        <f t="shared" si="330"/>
        <v>54.162280042111597</v>
      </c>
      <c r="G1247" s="7">
        <f>+VLOOKUP(A1247,'Undivideable Expenses'!D$104:AG$201,24,0)</f>
        <v>1798.2399999999998</v>
      </c>
      <c r="H1247" s="7">
        <f t="shared" si="331"/>
        <v>973.9677846292675</v>
      </c>
    </row>
    <row r="1248" spans="1:8" x14ac:dyDescent="0.25">
      <c r="A1248" s="6">
        <v>45881</v>
      </c>
      <c r="B1248">
        <v>10745.625</v>
      </c>
      <c r="C1248">
        <f>+VLOOKUP(A1248,'Undivideable Expenses'!$D$104:$AH$201,25,0)</f>
        <v>24345</v>
      </c>
      <c r="D1248" s="7">
        <f t="shared" si="330"/>
        <v>44.138940234134324</v>
      </c>
      <c r="G1248" s="7">
        <f>+VLOOKUP(A1248,'Undivideable Expenses'!D$104:AG$201,24,0)</f>
        <v>4295.7400000000007</v>
      </c>
      <c r="H1248" s="7">
        <f t="shared" si="331"/>
        <v>1896.0941112138021</v>
      </c>
    </row>
    <row r="1249" spans="1:8" x14ac:dyDescent="0.25">
      <c r="A1249" s="6">
        <v>45882</v>
      </c>
      <c r="B1249">
        <v>8801.6666666666679</v>
      </c>
      <c r="C1249">
        <f>+VLOOKUP(A1249,'Undivideable Expenses'!$D$104:$AH$201,25,0)</f>
        <v>26184.17</v>
      </c>
      <c r="D1249" s="7">
        <f t="shared" si="330"/>
        <v>33.614457386530368</v>
      </c>
      <c r="G1249" s="7">
        <f>+VLOOKUP(A1249,'Undivideable Expenses'!D$104:AG$201,24,0)</f>
        <v>3957.21</v>
      </c>
      <c r="H1249" s="7">
        <f t="shared" si="331"/>
        <v>1330.1946691455184</v>
      </c>
    </row>
    <row r="1250" spans="1:8" x14ac:dyDescent="0.25">
      <c r="A1250" s="6">
        <v>45883</v>
      </c>
      <c r="B1250">
        <v>4976.25</v>
      </c>
      <c r="C1250">
        <f>+VLOOKUP(A1250,'Undivideable Expenses'!$D$104:$AH$201,25,0)</f>
        <v>26731.25</v>
      </c>
      <c r="D1250" s="7">
        <f t="shared" si="330"/>
        <v>18.615852232873507</v>
      </c>
      <c r="G1250" s="7">
        <f>+VLOOKUP(A1250,'Undivideable Expenses'!D$104:AG$201,24,0)</f>
        <v>4330.0099999999993</v>
      </c>
      <c r="H1250" s="7">
        <f t="shared" si="331"/>
        <v>806.06826326864609</v>
      </c>
    </row>
    <row r="1251" spans="1:8" x14ac:dyDescent="0.25">
      <c r="A1251" s="6">
        <v>45884</v>
      </c>
      <c r="B1251">
        <v>4318</v>
      </c>
      <c r="C1251">
        <f>+VLOOKUP(A1251,'Undivideable Expenses'!$D$104:$AH$201,25,0)</f>
        <v>20656</v>
      </c>
      <c r="D1251" s="7">
        <f t="shared" si="330"/>
        <v>20.904337722695583</v>
      </c>
      <c r="G1251" s="7">
        <f>+VLOOKUP(A1251,'Undivideable Expenses'!D$104:AG$201,24,0)</f>
        <v>3357.6000000000004</v>
      </c>
      <c r="H1251" s="7">
        <f t="shared" si="331"/>
        <v>701.88404337722693</v>
      </c>
    </row>
    <row r="1252" spans="1:8" x14ac:dyDescent="0.25">
      <c r="A1252" s="6">
        <v>45885</v>
      </c>
      <c r="B1252">
        <v>5938.75</v>
      </c>
      <c r="C1252">
        <f>+VLOOKUP(A1252,'Undivideable Expenses'!$D$104:$AH$201,25,0)</f>
        <v>21450</v>
      </c>
      <c r="D1252" s="7">
        <f t="shared" si="330"/>
        <v>27.686480186480189</v>
      </c>
      <c r="G1252" s="7">
        <f>+VLOOKUP(A1252,'Undivideable Expenses'!D$104:AG$201,24,0)</f>
        <v>4085.5499999999997</v>
      </c>
      <c r="H1252" s="7">
        <f t="shared" si="331"/>
        <v>1131.1449912587414</v>
      </c>
    </row>
    <row r="1253" spans="1:8" x14ac:dyDescent="0.25">
      <c r="A1253" s="6">
        <v>45887</v>
      </c>
      <c r="B1253">
        <v>9628.75</v>
      </c>
      <c r="C1253">
        <f>+VLOOKUP(A1253,'Undivideable Expenses'!$D$104:$AH$201,25,0)</f>
        <v>25291.56</v>
      </c>
      <c r="D1253" s="7">
        <f t="shared" si="330"/>
        <v>38.071000760728083</v>
      </c>
      <c r="G1253" s="7">
        <f>+VLOOKUP(A1253,'Undivideable Expenses'!D$104:AG$201,24,0)</f>
        <v>4024.5600000000004</v>
      </c>
      <c r="H1253" s="7">
        <f t="shared" si="331"/>
        <v>1532.1902682159582</v>
      </c>
    </row>
    <row r="1254" spans="1:8" x14ac:dyDescent="0.25">
      <c r="A1254" s="6">
        <v>45888</v>
      </c>
      <c r="B1254">
        <v>8260</v>
      </c>
      <c r="C1254">
        <f>+VLOOKUP(A1254,'Undivideable Expenses'!$D$104:$AH$201,25,0)</f>
        <v>26357.5</v>
      </c>
      <c r="D1254" s="7">
        <f t="shared" si="330"/>
        <v>31.338328748932941</v>
      </c>
      <c r="G1254" s="7">
        <f>+VLOOKUP(A1254,'Undivideable Expenses'!D$104:AG$201,24,0)</f>
        <v>4637.76</v>
      </c>
      <c r="H1254" s="7">
        <f t="shared" si="331"/>
        <v>1453.3964753865123</v>
      </c>
    </row>
    <row r="1255" spans="1:8" x14ac:dyDescent="0.25">
      <c r="A1255" s="6">
        <v>45889</v>
      </c>
      <c r="B1255">
        <v>4398.75</v>
      </c>
      <c r="C1255">
        <f>+VLOOKUP(A1255,'Undivideable Expenses'!$D$104:$AH$201,25,0)</f>
        <v>24320.63</v>
      </c>
      <c r="D1255" s="7">
        <f t="shared" si="330"/>
        <v>18.086496936962572</v>
      </c>
      <c r="G1255" s="7">
        <f>+VLOOKUP(A1255,'Undivideable Expenses'!D$104:AG$201,24,0)</f>
        <v>4339.57</v>
      </c>
      <c r="H1255" s="7">
        <f t="shared" si="331"/>
        <v>784.87619512734659</v>
      </c>
    </row>
    <row r="1256" spans="1:8" x14ac:dyDescent="0.25">
      <c r="A1256" s="6">
        <v>45890</v>
      </c>
      <c r="B1256">
        <v>1650</v>
      </c>
      <c r="C1256">
        <f>+VLOOKUP(A1256,'Undivideable Expenses'!$D$104:$AH$201,25,0)</f>
        <v>19860</v>
      </c>
      <c r="D1256" s="7">
        <f t="shared" si="330"/>
        <v>8.3081570996978851</v>
      </c>
      <c r="G1256" s="7">
        <f>+VLOOKUP(A1256,'Undivideable Expenses'!D$104:AG$201,24,0)</f>
        <v>3383.0199999999995</v>
      </c>
      <c r="H1256" s="7">
        <f t="shared" si="331"/>
        <v>281.06661631419939</v>
      </c>
    </row>
    <row r="1257" spans="1:8" x14ac:dyDescent="0.25">
      <c r="A1257" s="6">
        <v>45891</v>
      </c>
      <c r="B1257">
        <v>988.75</v>
      </c>
      <c r="C1257">
        <f>+VLOOKUP(A1257,'Undivideable Expenses'!$D$104:$AH$201,25,0)</f>
        <v>20840</v>
      </c>
      <c r="D1257" s="7">
        <f t="shared" si="330"/>
        <v>4.7444817658349328</v>
      </c>
      <c r="G1257" s="7">
        <f>+VLOOKUP(A1257,'Undivideable Expenses'!D$104:AG$201,24,0)</f>
        <v>3028.45</v>
      </c>
      <c r="H1257" s="7">
        <f t="shared" si="331"/>
        <v>143.68425803742801</v>
      </c>
    </row>
    <row r="1258" spans="1:8" x14ac:dyDescent="0.25">
      <c r="A1258" s="6">
        <v>45892</v>
      </c>
      <c r="B1258">
        <v>187.5</v>
      </c>
      <c r="C1258">
        <f>+VLOOKUP(A1258,'Undivideable Expenses'!$D$104:$AH$201,25,0)</f>
        <v>19889.38</v>
      </c>
      <c r="D1258" s="7">
        <f t="shared" si="330"/>
        <v>0.94271415197457131</v>
      </c>
      <c r="G1258" s="7">
        <f>+VLOOKUP(A1258,'Undivideable Expenses'!D$104:AG$201,24,0)</f>
        <v>3656.3</v>
      </c>
      <c r="H1258" s="7">
        <f t="shared" si="331"/>
        <v>34.468457538646256</v>
      </c>
    </row>
    <row r="1259" spans="1:8" x14ac:dyDescent="0.25">
      <c r="A1259" s="6">
        <v>45905</v>
      </c>
      <c r="B1259">
        <v>2453.75</v>
      </c>
      <c r="C1259">
        <f>+VLOOKUP(A1259,'Undivideable Expenses'!$D$104:$AH$201,31,0)</f>
        <v>22442.61</v>
      </c>
      <c r="D1259" s="7">
        <f t="shared" si="330"/>
        <v>10.933443124485075</v>
      </c>
      <c r="G1259" s="7">
        <f>+VLOOKUP(A1259,'Undivideable Expenses'!D$104:AG$201,30,0)</f>
        <v>4314.3</v>
      </c>
      <c r="H1259" s="7">
        <f t="shared" si="331"/>
        <v>471.7015367196596</v>
      </c>
    </row>
    <row r="1260" spans="1:8" x14ac:dyDescent="0.25">
      <c r="A1260" s="6">
        <v>45906</v>
      </c>
      <c r="B1260">
        <v>7478.75</v>
      </c>
      <c r="C1260">
        <f>+VLOOKUP(A1260,'Undivideable Expenses'!$D$104:$AH$201,31,0)</f>
        <v>25357.03</v>
      </c>
      <c r="D1260" s="7">
        <f t="shared" ref="D1260:D1279" si="332">+B1260/C1260*100</f>
        <v>29.49379323998118</v>
      </c>
      <c r="G1260" s="7">
        <f>+VLOOKUP(A1260,'Undivideable Expenses'!D$104:AG$201,30,0)</f>
        <v>3841.07</v>
      </c>
      <c r="H1260" s="7">
        <f t="shared" ref="H1260:H1279" si="333">+G1260/100*D1260</f>
        <v>1132.877244002945</v>
      </c>
    </row>
    <row r="1261" spans="1:8" x14ac:dyDescent="0.25">
      <c r="A1261" s="6">
        <v>45908</v>
      </c>
      <c r="B1261">
        <v>7196.25</v>
      </c>
      <c r="C1261">
        <f>+VLOOKUP(A1261,'Undivideable Expenses'!$D$104:$AH$201,31,0)</f>
        <v>24431.25</v>
      </c>
      <c r="D1261" s="7">
        <f t="shared" si="332"/>
        <v>29.455103607060629</v>
      </c>
      <c r="G1261" s="7">
        <f>+VLOOKUP(A1261,'Undivideable Expenses'!D$104:AG$201,30,0)</f>
        <v>4129.9399999999996</v>
      </c>
      <c r="H1261" s="7">
        <f t="shared" si="333"/>
        <v>1216.4781059094396</v>
      </c>
    </row>
    <row r="1262" spans="1:8" x14ac:dyDescent="0.25">
      <c r="A1262" s="6">
        <v>45909</v>
      </c>
      <c r="B1262">
        <v>8181.25</v>
      </c>
      <c r="C1262">
        <f>+VLOOKUP(A1262,'Undivideable Expenses'!$D$104:$AH$201,31,0)</f>
        <v>25931.25</v>
      </c>
      <c r="D1262" s="7">
        <f t="shared" si="332"/>
        <v>31.549771029163654</v>
      </c>
      <c r="G1262" s="7">
        <f>+VLOOKUP(A1262,'Undivideable Expenses'!D$104:AG$201,30,0)</f>
        <v>4342.7</v>
      </c>
      <c r="H1262" s="7">
        <f t="shared" si="333"/>
        <v>1370.11190648349</v>
      </c>
    </row>
    <row r="1263" spans="1:8" x14ac:dyDescent="0.25">
      <c r="A1263" s="6">
        <v>45910</v>
      </c>
      <c r="B1263">
        <v>5860</v>
      </c>
      <c r="C1263">
        <f>+VLOOKUP(A1263,'Undivideable Expenses'!$D$104:$AH$201,31,0)</f>
        <v>25830.799999999999</v>
      </c>
      <c r="D1263" s="7">
        <f t="shared" si="332"/>
        <v>22.686095668736549</v>
      </c>
      <c r="G1263" s="7">
        <f>+VLOOKUP(A1263,'Undivideable Expenses'!D$104:AG$201,30,0)</f>
        <v>4179.7700000000004</v>
      </c>
      <c r="H1263" s="7">
        <f t="shared" si="333"/>
        <v>948.22662093314977</v>
      </c>
    </row>
    <row r="1264" spans="1:8" x14ac:dyDescent="0.25">
      <c r="A1264" s="6">
        <v>45911</v>
      </c>
      <c r="B1264">
        <v>3443.125</v>
      </c>
      <c r="C1264">
        <f>+VLOOKUP(A1264,'Undivideable Expenses'!$D$104:$AH$201,31,0)</f>
        <v>26752.45</v>
      </c>
      <c r="D1264" s="7">
        <f t="shared" si="332"/>
        <v>12.87031655044678</v>
      </c>
      <c r="G1264" s="7">
        <f>+VLOOKUP(A1264,'Undivideable Expenses'!D$104:AG$201,30,0)</f>
        <v>4547.96</v>
      </c>
      <c r="H1264" s="7">
        <f t="shared" si="333"/>
        <v>585.33684858769936</v>
      </c>
    </row>
    <row r="1265" spans="1:8" x14ac:dyDescent="0.25">
      <c r="A1265" s="6">
        <v>45912</v>
      </c>
      <c r="B1265">
        <v>4421.9360902255639</v>
      </c>
      <c r="C1265">
        <f>+VLOOKUP(A1265,'Undivideable Expenses'!$D$104:$AH$201,31,0)</f>
        <v>25098.19</v>
      </c>
      <c r="D1265" s="7">
        <f t="shared" si="332"/>
        <v>17.618545760573028</v>
      </c>
      <c r="G1265" s="7">
        <f>+VLOOKUP(A1265,'Undivideable Expenses'!D$104:AG$201,30,0)</f>
        <v>4596.2699999999995</v>
      </c>
      <c r="H1265" s="7">
        <f t="shared" si="333"/>
        <v>809.79593322948983</v>
      </c>
    </row>
    <row r="1266" spans="1:8" x14ac:dyDescent="0.25">
      <c r="A1266" s="6">
        <v>45913</v>
      </c>
      <c r="B1266">
        <v>2617.5</v>
      </c>
      <c r="C1266">
        <f>+VLOOKUP(A1266,'Undivideable Expenses'!$D$104:$AH$201,31,0)</f>
        <v>23180.7</v>
      </c>
      <c r="D1266" s="7">
        <f t="shared" si="332"/>
        <v>11.29172113007804</v>
      </c>
      <c r="G1266" s="7">
        <f>+VLOOKUP(A1266,'Undivideable Expenses'!D$104:AG$201,30,0)</f>
        <v>3633.71</v>
      </c>
      <c r="H1266" s="7">
        <f t="shared" si="333"/>
        <v>410.30839987575871</v>
      </c>
    </row>
    <row r="1267" spans="1:8" x14ac:dyDescent="0.25">
      <c r="A1267" s="6">
        <v>45915</v>
      </c>
      <c r="B1267">
        <v>958.75</v>
      </c>
      <c r="C1267">
        <f>+VLOOKUP(A1267,'Undivideable Expenses'!$D$104:$AH$201,31,0)</f>
        <v>26345.4</v>
      </c>
      <c r="D1267" s="7">
        <f t="shared" si="332"/>
        <v>3.6391552225435935</v>
      </c>
      <c r="G1267" s="7">
        <f>+VLOOKUP(A1267,'Undivideable Expenses'!D$104:AG$201,30,0)</f>
        <v>4497.5</v>
      </c>
      <c r="H1267" s="7">
        <f t="shared" si="333"/>
        <v>163.67100613389812</v>
      </c>
    </row>
    <row r="1268" spans="1:8" x14ac:dyDescent="0.25">
      <c r="A1268" s="6">
        <v>45916</v>
      </c>
      <c r="B1268">
        <v>865</v>
      </c>
      <c r="C1268">
        <f>+VLOOKUP(A1268,'Undivideable Expenses'!$D$104:$AH$201,31,0)</f>
        <v>26795</v>
      </c>
      <c r="D1268" s="7">
        <f t="shared" si="332"/>
        <v>3.2282142190707219</v>
      </c>
      <c r="G1268" s="7">
        <f>+VLOOKUP(A1268,'Undivideable Expenses'!D$104:AG$201,30,0)</f>
        <v>4756.51</v>
      </c>
      <c r="H1268" s="7">
        <f t="shared" si="333"/>
        <v>153.55033215152079</v>
      </c>
    </row>
    <row r="1269" spans="1:8" x14ac:dyDescent="0.25">
      <c r="A1269" s="6">
        <v>45917</v>
      </c>
      <c r="B1269">
        <v>3013.1860902255639</v>
      </c>
      <c r="C1269">
        <f>+VLOOKUP(A1269,'Undivideable Expenses'!$D$104:$AH$201,31,0)</f>
        <v>23606.31</v>
      </c>
      <c r="D1269" s="7">
        <f t="shared" si="332"/>
        <v>12.764324836137304</v>
      </c>
      <c r="G1269" s="7">
        <f>+VLOOKUP(A1269,'Undivideable Expenses'!D$104:AG$201,30,0)</f>
        <v>4441.4399999999996</v>
      </c>
      <c r="H1269" s="7">
        <f t="shared" si="333"/>
        <v>566.91982900213657</v>
      </c>
    </row>
    <row r="1270" spans="1:8" x14ac:dyDescent="0.25">
      <c r="A1270" s="6">
        <v>45918</v>
      </c>
      <c r="B1270">
        <v>5691.25</v>
      </c>
      <c r="C1270">
        <f>+VLOOKUP(A1270,'Undivideable Expenses'!$D$104:$AH$201,31,0)</f>
        <v>22551.25</v>
      </c>
      <c r="D1270" s="7">
        <f t="shared" si="332"/>
        <v>25.236960257191953</v>
      </c>
      <c r="G1270" s="7">
        <f>+VLOOKUP(A1270,'Undivideable Expenses'!D$104:AG$201,30,0)</f>
        <v>4633.42</v>
      </c>
      <c r="H1270" s="7">
        <f t="shared" si="333"/>
        <v>1169.3343639487834</v>
      </c>
    </row>
    <row r="1271" spans="1:8" x14ac:dyDescent="0.25">
      <c r="A1271" s="6">
        <v>45919</v>
      </c>
      <c r="B1271">
        <v>5651.25</v>
      </c>
      <c r="C1271">
        <f>+VLOOKUP(A1271,'Undivideable Expenses'!$D$104:$AH$201,31,0)</f>
        <v>23254.17</v>
      </c>
      <c r="D1271" s="7">
        <f t="shared" si="332"/>
        <v>24.302092914948158</v>
      </c>
      <c r="G1271" s="7">
        <f>+VLOOKUP(A1271,'Undivideable Expenses'!D$104:AG$201,30,0)</f>
        <v>3861.57</v>
      </c>
      <c r="H1271" s="7">
        <f t="shared" si="333"/>
        <v>938.44232937576373</v>
      </c>
    </row>
    <row r="1272" spans="1:8" x14ac:dyDescent="0.25">
      <c r="A1272" s="6">
        <v>45920</v>
      </c>
      <c r="B1272">
        <v>4030</v>
      </c>
      <c r="C1272">
        <f>+VLOOKUP(A1272,'Undivideable Expenses'!$D$104:$AH$201,31,0)</f>
        <v>21410.94</v>
      </c>
      <c r="D1272" s="7">
        <f t="shared" si="332"/>
        <v>18.822153534594932</v>
      </c>
      <c r="G1272" s="7">
        <f>+VLOOKUP(A1272,'Undivideable Expenses'!D$104:AG$201,30,0)</f>
        <v>4413.95</v>
      </c>
      <c r="H1272" s="7">
        <f t="shared" si="333"/>
        <v>830.80044594025298</v>
      </c>
    </row>
    <row r="1273" spans="1:8" x14ac:dyDescent="0.25">
      <c r="A1273" s="6">
        <v>45921</v>
      </c>
      <c r="B1273">
        <v>1606.6666666666665</v>
      </c>
      <c r="C1273">
        <f>+VLOOKUP(A1273,'Undivideable Expenses'!$D$104:$AH$201,31,0)</f>
        <v>17500</v>
      </c>
      <c r="D1273" s="7">
        <f t="shared" si="332"/>
        <v>9.1809523809523803</v>
      </c>
      <c r="G1273" s="7">
        <f>+VLOOKUP(A1273,'Undivideable Expenses'!D$104:AG$201,30,0)</f>
        <v>4082.81</v>
      </c>
      <c r="H1273" s="7">
        <f t="shared" si="333"/>
        <v>374.84084190476187</v>
      </c>
    </row>
    <row r="1274" spans="1:8" x14ac:dyDescent="0.25">
      <c r="A1274" s="6">
        <v>45922</v>
      </c>
      <c r="B1274">
        <v>1832.5</v>
      </c>
      <c r="C1274">
        <f>+VLOOKUP(A1274,'Undivideable Expenses'!$D$104:$AH$201,31,0)</f>
        <v>23698.75</v>
      </c>
      <c r="D1274" s="7">
        <f t="shared" si="332"/>
        <v>7.7324753415264516</v>
      </c>
      <c r="G1274" s="7">
        <f>+VLOOKUP(A1274,'Undivideable Expenses'!D$104:AG$201,30,0)</f>
        <v>4528.6099999999997</v>
      </c>
      <c r="H1274" s="7">
        <f t="shared" si="333"/>
        <v>350.17365156390105</v>
      </c>
    </row>
    <row r="1275" spans="1:8" x14ac:dyDescent="0.25">
      <c r="A1275" s="6">
        <v>45923</v>
      </c>
      <c r="B1275">
        <v>1570</v>
      </c>
      <c r="C1275">
        <f>+VLOOKUP(A1275,'Undivideable Expenses'!$D$104:$AH$201,31,0)</f>
        <v>24436.93</v>
      </c>
      <c r="D1275" s="7">
        <f t="shared" si="332"/>
        <v>6.4247022846159476</v>
      </c>
      <c r="G1275" s="7">
        <f>+VLOOKUP(A1275,'Undivideable Expenses'!D$104:AG$201,30,0)</f>
        <v>4508.97</v>
      </c>
      <c r="H1275" s="7">
        <f t="shared" si="333"/>
        <v>289.68789860264769</v>
      </c>
    </row>
    <row r="1276" spans="1:8" x14ac:dyDescent="0.25">
      <c r="A1276" s="6">
        <v>45924</v>
      </c>
      <c r="B1276">
        <v>467.5</v>
      </c>
      <c r="C1276">
        <f>+VLOOKUP(A1276,'Undivideable Expenses'!$D$104:$AH$201,31,0)</f>
        <v>24463.5</v>
      </c>
      <c r="D1276" s="7">
        <f t="shared" si="332"/>
        <v>1.9110102806221514</v>
      </c>
      <c r="G1276" s="7">
        <f>+VLOOKUP(A1276,'Undivideable Expenses'!D$104:AG$201,30,0)</f>
        <v>3936.63</v>
      </c>
      <c r="H1276" s="7">
        <f t="shared" si="333"/>
        <v>75.229404010055802</v>
      </c>
    </row>
    <row r="1277" spans="1:8" x14ac:dyDescent="0.25">
      <c r="A1277" s="6">
        <v>45925</v>
      </c>
      <c r="B1277">
        <v>125</v>
      </c>
      <c r="C1277">
        <f>+VLOOKUP(A1277,'Undivideable Expenses'!$D$104:$AH$201,31,0)</f>
        <v>24938.75</v>
      </c>
      <c r="D1277" s="7">
        <f t="shared" si="332"/>
        <v>0.50122800862112182</v>
      </c>
      <c r="G1277" s="7">
        <f>+VLOOKUP(A1277,'Undivideable Expenses'!D$104:AG$201,30,0)</f>
        <v>3941.13</v>
      </c>
      <c r="H1277" s="7">
        <f t="shared" si="333"/>
        <v>19.75404741616962</v>
      </c>
    </row>
    <row r="1278" spans="1:8" x14ac:dyDescent="0.25">
      <c r="A1278" s="6">
        <v>45926</v>
      </c>
      <c r="B1278">
        <v>250</v>
      </c>
      <c r="C1278">
        <f>+VLOOKUP(A1278,'Undivideable Expenses'!$D$104:$AH$201,31,0)</f>
        <v>24910.49</v>
      </c>
      <c r="D1278" s="7">
        <f t="shared" si="332"/>
        <v>1.0035932653271775</v>
      </c>
      <c r="G1278" s="7">
        <f>+VLOOKUP(A1278,'Undivideable Expenses'!D$104:AG$201,30,0)</f>
        <v>3930.78</v>
      </c>
      <c r="H1278" s="7">
        <f t="shared" si="333"/>
        <v>39.44904335482763</v>
      </c>
    </row>
    <row r="1279" spans="1:8" x14ac:dyDescent="0.25">
      <c r="A1279" s="6">
        <v>45931</v>
      </c>
      <c r="B1279">
        <v>1365</v>
      </c>
      <c r="C1279">
        <f>+VLOOKUP(A1279,'Undivideable Expenses'!$D$104:$AH$201,31,0)</f>
        <v>19960</v>
      </c>
      <c r="D1279" s="7">
        <f t="shared" si="332"/>
        <v>6.8386773547094188</v>
      </c>
      <c r="G1279" s="7">
        <f>+VLOOKUP(A1279,'Undivideable Expenses'!D$104:AG$201,30,0)</f>
        <v>3837.6094117647058</v>
      </c>
      <c r="H1279" s="7">
        <f t="shared" si="333"/>
        <v>262.44172580455029</v>
      </c>
    </row>
    <row r="1280" spans="1:8" x14ac:dyDescent="0.25">
      <c r="A1280" s="6">
        <v>45932</v>
      </c>
      <c r="B1280">
        <v>3982.5</v>
      </c>
      <c r="C1280">
        <f>+VLOOKUP(A1280,'Undivideable Expenses'!$D$104:$AH$201,31,0)</f>
        <v>22645.63</v>
      </c>
      <c r="D1280" s="7">
        <f t="shared" ref="D1280:D1293" si="334">+B1280/C1280*100</f>
        <v>17.586174462799224</v>
      </c>
      <c r="G1280" s="7">
        <f>+VLOOKUP(A1280,'Undivideable Expenses'!D$104:AG$201,30,0)</f>
        <v>3203.2896078431372</v>
      </c>
      <c r="H1280" s="7">
        <f t="shared" ref="H1280:H1293" si="335">+G1280/100*D1280</f>
        <v>563.33609898401119</v>
      </c>
    </row>
    <row r="1281" spans="1:8" x14ac:dyDescent="0.25">
      <c r="A1281" s="6">
        <v>45933</v>
      </c>
      <c r="B1281">
        <v>741.25</v>
      </c>
      <c r="C1281">
        <f>+VLOOKUP(A1281,'Undivideable Expenses'!$D$104:$AH$201,31,0)</f>
        <v>18936.25</v>
      </c>
      <c r="D1281" s="7">
        <f t="shared" si="334"/>
        <v>3.9144497986665785</v>
      </c>
      <c r="G1281" s="7">
        <f>+VLOOKUP(A1281,'Undivideable Expenses'!D$104:AG$201,30,0)</f>
        <v>3840.6227450980391</v>
      </c>
      <c r="H1281" s="7">
        <f t="shared" si="335"/>
        <v>150.33924931303301</v>
      </c>
    </row>
    <row r="1282" spans="1:8" x14ac:dyDescent="0.25">
      <c r="A1282" s="6">
        <v>45935</v>
      </c>
      <c r="B1282">
        <v>700</v>
      </c>
      <c r="C1282">
        <f>+VLOOKUP(A1282,'Undivideable Expenses'!$D$104:$AH$201,31,0)</f>
        <v>16911.900000000001</v>
      </c>
      <c r="D1282" s="7">
        <f t="shared" si="334"/>
        <v>4.1390973220040328</v>
      </c>
      <c r="G1282" s="7">
        <f>+VLOOKUP(A1282,'Undivideable Expenses'!D$104:AG$201,30,0)</f>
        <v>2248.4699999999998</v>
      </c>
      <c r="H1282" s="7">
        <f t="shared" si="335"/>
        <v>93.066361556064066</v>
      </c>
    </row>
    <row r="1283" spans="1:8" x14ac:dyDescent="0.25">
      <c r="A1283" s="6">
        <v>45936</v>
      </c>
      <c r="B1283">
        <v>1548.75</v>
      </c>
      <c r="C1283">
        <f>+VLOOKUP(A1283,'Undivideable Expenses'!$D$104:$AH$201,31,0)</f>
        <v>17012.5</v>
      </c>
      <c r="D1283" s="7">
        <f t="shared" si="334"/>
        <v>9.1036002939015432</v>
      </c>
      <c r="G1283" s="7">
        <f>+VLOOKUP(A1283,'Undivideable Expenses'!D$104:AG$201,30,0)</f>
        <v>2950.3319607843141</v>
      </c>
      <c r="H1283" s="7">
        <f t="shared" si="335"/>
        <v>268.58642905303202</v>
      </c>
    </row>
    <row r="1284" spans="1:8" x14ac:dyDescent="0.25">
      <c r="A1284" s="6">
        <v>45937</v>
      </c>
      <c r="B1284">
        <v>3117.5</v>
      </c>
      <c r="C1284">
        <f>+VLOOKUP(A1284,'Undivideable Expenses'!$D$104:$AH$201,31,0)</f>
        <v>21800</v>
      </c>
      <c r="D1284" s="7">
        <f t="shared" si="334"/>
        <v>14.300458715596331</v>
      </c>
      <c r="G1284" s="7">
        <f>+VLOOKUP(A1284,'Undivideable Expenses'!D$104:AG$201,30,0)</f>
        <v>3333.5290196078427</v>
      </c>
      <c r="H1284" s="7">
        <f t="shared" si="335"/>
        <v>476.70994122144265</v>
      </c>
    </row>
    <row r="1285" spans="1:8" x14ac:dyDescent="0.25">
      <c r="A1285" s="6">
        <v>45938</v>
      </c>
      <c r="B1285">
        <v>2413.7593773443359</v>
      </c>
      <c r="C1285">
        <f>+VLOOKUP(A1285,'Undivideable Expenses'!$D$104:$AH$201,31,0)</f>
        <v>22083.14</v>
      </c>
      <c r="D1285" s="7">
        <f t="shared" si="334"/>
        <v>10.930326834609282</v>
      </c>
      <c r="G1285" s="7">
        <f>+VLOOKUP(A1285,'Undivideable Expenses'!D$104:AG$201,30,0)</f>
        <v>3614.8539215686278</v>
      </c>
      <c r="H1285" s="7">
        <f t="shared" si="335"/>
        <v>395.11534822114169</v>
      </c>
    </row>
    <row r="1286" spans="1:8" x14ac:dyDescent="0.25">
      <c r="A1286" s="6">
        <v>45939</v>
      </c>
      <c r="B1286">
        <v>1257.5</v>
      </c>
      <c r="C1286">
        <f>+VLOOKUP(A1286,'Undivideable Expenses'!$D$104:$AH$201,31,0)</f>
        <v>22478.76</v>
      </c>
      <c r="D1286" s="7">
        <f t="shared" si="334"/>
        <v>5.5941697851660859</v>
      </c>
      <c r="G1286" s="7">
        <f>+VLOOKUP(A1286,'Undivideable Expenses'!D$104:AG$201,30,0)</f>
        <v>3445.8135294117646</v>
      </c>
      <c r="H1286" s="7">
        <f t="shared" si="335"/>
        <v>192.76465931551803</v>
      </c>
    </row>
    <row r="1287" spans="1:8" x14ac:dyDescent="0.25">
      <c r="A1287" s="6">
        <v>45941</v>
      </c>
      <c r="B1287">
        <v>358.75</v>
      </c>
      <c r="C1287">
        <f>+VLOOKUP(A1287,'Undivideable Expenses'!$D$104:$AH$201,31,0)</f>
        <v>19220</v>
      </c>
      <c r="D1287" s="7">
        <f t="shared" si="334"/>
        <v>1.8665452653485952</v>
      </c>
      <c r="G1287" s="7">
        <f>+VLOOKUP(A1287,'Undivideable Expenses'!D$104:AG$201,30,0)</f>
        <v>3711.4678431372545</v>
      </c>
      <c r="H1287" s="7">
        <f t="shared" si="335"/>
        <v>69.276227301014046</v>
      </c>
    </row>
    <row r="1288" spans="1:8" x14ac:dyDescent="0.25">
      <c r="A1288" s="6">
        <v>45943</v>
      </c>
      <c r="B1288">
        <v>110</v>
      </c>
      <c r="C1288">
        <f>+VLOOKUP(A1288,'Undivideable Expenses'!$D$104:$AH$201,31,0)</f>
        <v>16090</v>
      </c>
      <c r="D1288" s="7">
        <f t="shared" si="334"/>
        <v>0.6836544437538844</v>
      </c>
      <c r="G1288" s="7">
        <f>+VLOOKUP(A1288,'Undivideable Expenses'!D$104:AG$201,30,0)</f>
        <v>4156.0586274509806</v>
      </c>
      <c r="H1288" s="7">
        <f t="shared" si="335"/>
        <v>28.413079491585322</v>
      </c>
    </row>
    <row r="1289" spans="1:8" x14ac:dyDescent="0.25">
      <c r="A1289" s="6">
        <v>45944</v>
      </c>
      <c r="B1289">
        <v>220</v>
      </c>
      <c r="C1289">
        <f>+VLOOKUP(A1289,'Undivideable Expenses'!$D$104:$AH$201,31,0)</f>
        <v>15526.25</v>
      </c>
      <c r="D1289" s="7">
        <f t="shared" si="334"/>
        <v>1.4169551565896465</v>
      </c>
      <c r="G1289" s="7">
        <f>+VLOOKUP(A1289,'Undivideable Expenses'!D$104:AG$201,30,0)</f>
        <v>3114.9388235294118</v>
      </c>
      <c r="H1289" s="7">
        <f t="shared" si="335"/>
        <v>44.13728628461287</v>
      </c>
    </row>
    <row r="1290" spans="1:8" x14ac:dyDescent="0.25">
      <c r="A1290" s="6">
        <v>45945</v>
      </c>
      <c r="B1290">
        <v>401.25</v>
      </c>
      <c r="C1290">
        <f>+VLOOKUP(A1290,'Undivideable Expenses'!$D$104:$AH$201,31,0)</f>
        <v>15747.5</v>
      </c>
      <c r="D1290" s="7">
        <f t="shared" si="334"/>
        <v>2.5480234957929828</v>
      </c>
      <c r="G1290" s="7">
        <f>+VLOOKUP(A1290,'Undivideable Expenses'!D$104:AG$201,30,0)</f>
        <v>3951.51431372549</v>
      </c>
      <c r="H1290" s="7">
        <f t="shared" si="335"/>
        <v>100.68551315334832</v>
      </c>
    </row>
    <row r="1291" spans="1:8" x14ac:dyDescent="0.25">
      <c r="A1291" s="6">
        <v>45946</v>
      </c>
      <c r="B1291">
        <v>2440</v>
      </c>
      <c r="C1291">
        <f>+VLOOKUP(A1291,'Undivideable Expenses'!$D$104:$AH$201,31,0)</f>
        <v>15233.76</v>
      </c>
      <c r="D1291" s="7">
        <f t="shared" si="334"/>
        <v>16.017056852674585</v>
      </c>
      <c r="G1291" s="7">
        <f>+VLOOKUP(A1291,'Undivideable Expenses'!D$104:AG$201,30,0)</f>
        <v>3988.4435294117652</v>
      </c>
      <c r="H1291" s="7">
        <f t="shared" si="335"/>
        <v>638.83126764270321</v>
      </c>
    </row>
    <row r="1292" spans="1:8" x14ac:dyDescent="0.25">
      <c r="A1292" s="6">
        <v>45947</v>
      </c>
      <c r="B1292">
        <v>883.75</v>
      </c>
      <c r="C1292">
        <f>+VLOOKUP(A1292,'Undivideable Expenses'!$D$104:$AH$201,31,0)</f>
        <v>15503.76</v>
      </c>
      <c r="D1292" s="7">
        <f t="shared" si="334"/>
        <v>5.7002301377214302</v>
      </c>
      <c r="G1292" s="7">
        <f>+VLOOKUP(A1292,'Undivideable Expenses'!D$104:AG$201,30,0)</f>
        <v>3948.3239215686281</v>
      </c>
      <c r="H1292" s="7">
        <f t="shared" si="335"/>
        <v>225.0635501121196</v>
      </c>
    </row>
    <row r="1293" spans="1:8" x14ac:dyDescent="0.25">
      <c r="A1293" s="6">
        <v>45948</v>
      </c>
      <c r="B1293">
        <v>576.25</v>
      </c>
      <c r="C1293">
        <f>+VLOOKUP(A1293,'Undivideable Expenses'!$D$104:$AH$201,31,0)</f>
        <v>14001.88</v>
      </c>
      <c r="D1293" s="7">
        <f t="shared" si="334"/>
        <v>4.1155187731933145</v>
      </c>
      <c r="G1293" s="7">
        <f>+VLOOKUP(A1293,'Undivideable Expenses'!D$104:AG$201,30,0)</f>
        <v>3462.9003921568628</v>
      </c>
      <c r="H1293" s="7">
        <f t="shared" si="335"/>
        <v>142.5163157362006</v>
      </c>
    </row>
    <row r="1295" spans="1:8" x14ac:dyDescent="0.25">
      <c r="A1295" t="s">
        <v>253</v>
      </c>
    </row>
    <row r="1296" spans="1:8" x14ac:dyDescent="0.25">
      <c r="A1296" s="8" t="s">
        <v>6</v>
      </c>
      <c r="B1296" s="8" t="s">
        <v>252</v>
      </c>
      <c r="C1296" s="22" t="s">
        <v>50</v>
      </c>
      <c r="D1296" s="22" t="s">
        <v>9</v>
      </c>
    </row>
    <row r="1297" spans="1:8" x14ac:dyDescent="0.25">
      <c r="A1297" s="6">
        <v>45866</v>
      </c>
      <c r="B1297" s="7">
        <v>203.75</v>
      </c>
      <c r="C1297">
        <f>VLOOKUP(A1297,'Undivideable Expenses'!D69:AB101,25,0)</f>
        <v>22146.25</v>
      </c>
      <c r="D1297" s="7">
        <f t="shared" ref="D1297" si="336">+B1297/C1297*100</f>
        <v>0.92002031946717844</v>
      </c>
      <c r="G1297" s="7">
        <f>VLOOKUP(A1297,'Undivideable Expenses'!D69:AB101,24,0)</f>
        <v>4734.17</v>
      </c>
      <c r="H1297" s="7">
        <f t="shared" ref="H1297" si="337">+G1297/100*D1297</f>
        <v>43.555325958119326</v>
      </c>
    </row>
    <row r="1298" spans="1:8" x14ac:dyDescent="0.25">
      <c r="A1298" s="6">
        <v>45867</v>
      </c>
      <c r="B1298" s="7">
        <v>1700</v>
      </c>
      <c r="C1298">
        <f>VLOOKUP(A1298,'Undivideable Expenses'!D70:AB102,25,0)</f>
        <v>23655</v>
      </c>
      <c r="D1298" s="7">
        <f t="shared" ref="D1298:D1300" si="338">+B1298/C1298*100</f>
        <v>7.1866413020503064</v>
      </c>
      <c r="G1298" s="7">
        <f>VLOOKUP(A1298,'Undivideable Expenses'!D70:AB102,24,0)</f>
        <v>3369.74</v>
      </c>
      <c r="H1298" s="7">
        <f t="shared" ref="H1298:H1300" si="339">+G1298/100*D1298</f>
        <v>242.17112661170995</v>
      </c>
    </row>
    <row r="1299" spans="1:8" x14ac:dyDescent="0.25">
      <c r="A1299" s="6">
        <v>45868</v>
      </c>
      <c r="B1299" s="7">
        <v>1835</v>
      </c>
      <c r="C1299">
        <f>VLOOKUP(A1299,'Undivideable Expenses'!D71:AB103,25,0)</f>
        <v>20230</v>
      </c>
      <c r="D1299" s="7">
        <f t="shared" si="338"/>
        <v>9.0706870983687597</v>
      </c>
      <c r="G1299" s="7">
        <f>VLOOKUP(A1299,'Undivideable Expenses'!D71:AB103,24,0)</f>
        <v>4589.82</v>
      </c>
      <c r="H1299" s="7">
        <f t="shared" si="339"/>
        <v>416.32821057834894</v>
      </c>
    </row>
    <row r="1300" spans="1:8" x14ac:dyDescent="0.25">
      <c r="A1300" s="6">
        <v>45869</v>
      </c>
      <c r="B1300" s="7">
        <v>1783.75</v>
      </c>
      <c r="C1300">
        <f>VLOOKUP(A1300,'Undivideable Expenses'!D72:AB104,25,0)</f>
        <v>18656.25</v>
      </c>
      <c r="D1300" s="7">
        <f t="shared" si="338"/>
        <v>9.5611390284757132</v>
      </c>
      <c r="G1300" s="7">
        <f>VLOOKUP(A1300,'Undivideable Expenses'!D72:AB104,24,0)</f>
        <v>3641.3899999999994</v>
      </c>
      <c r="H1300" s="7">
        <f t="shared" si="339"/>
        <v>348.15836046901171</v>
      </c>
    </row>
    <row r="1301" spans="1:8" x14ac:dyDescent="0.25">
      <c r="A1301" s="6">
        <v>45870</v>
      </c>
      <c r="B1301" s="7">
        <v>2108.75</v>
      </c>
      <c r="C1301">
        <f>+VLOOKUP(A1301,'Undivideable Expenses'!$D$104:$AH$201,25,0)</f>
        <v>24640</v>
      </c>
      <c r="D1301" s="7">
        <f t="shared" ref="D1301" si="340">+B1301/C1301*100</f>
        <v>8.5582386363636367</v>
      </c>
      <c r="G1301" s="7">
        <f>+VLOOKUP(A1301,'Undivideable Expenses'!D$104:AG$201,24,0)</f>
        <v>4191.45</v>
      </c>
      <c r="H1301" s="7">
        <f t="shared" ref="H1301" si="341">+G1301/100*D1301</f>
        <v>358.71429332386361</v>
      </c>
    </row>
    <row r="1302" spans="1:8" x14ac:dyDescent="0.25">
      <c r="A1302" s="6">
        <v>45871</v>
      </c>
      <c r="B1302" s="7">
        <v>1380</v>
      </c>
      <c r="C1302">
        <f>+VLOOKUP(A1302,'Undivideable Expenses'!$D$104:$AH$201,25,0)</f>
        <v>20507</v>
      </c>
      <c r="D1302" s="7">
        <f t="shared" ref="D1302:D1310" si="342">+B1302/C1302*100</f>
        <v>6.729409469937095</v>
      </c>
      <c r="G1302" s="7">
        <f>+VLOOKUP(A1302,'Undivideable Expenses'!D$104:AG$201,24,0)</f>
        <v>3883.6800000000003</v>
      </c>
      <c r="H1302" s="7">
        <f t="shared" ref="H1302:H1310" si="343">+G1302/100*D1302</f>
        <v>261.34872970205299</v>
      </c>
    </row>
    <row r="1303" spans="1:8" x14ac:dyDescent="0.25">
      <c r="A1303" s="6">
        <v>45873</v>
      </c>
      <c r="B1303" s="7">
        <v>276.25</v>
      </c>
      <c r="C1303">
        <f>+VLOOKUP(A1303,'Undivideable Expenses'!$D$104:$AH$201,25,0)</f>
        <v>18660</v>
      </c>
      <c r="D1303" s="7">
        <f t="shared" si="342"/>
        <v>1.4804394426580922</v>
      </c>
      <c r="G1303" s="7">
        <f>+VLOOKUP(A1303,'Undivideable Expenses'!D$104:AG$201,24,0)</f>
        <v>3492.6099999999997</v>
      </c>
      <c r="H1303" s="7">
        <f t="shared" si="343"/>
        <v>51.705976018220795</v>
      </c>
    </row>
    <row r="1304" spans="1:8" x14ac:dyDescent="0.25">
      <c r="A1304" s="6">
        <v>45874</v>
      </c>
      <c r="B1304" s="7">
        <v>533.75</v>
      </c>
      <c r="C1304">
        <f>+VLOOKUP(A1304,'Undivideable Expenses'!$D$104:$AH$201,25,0)</f>
        <v>22530</v>
      </c>
      <c r="D1304" s="7">
        <f t="shared" si="342"/>
        <v>2.3690634709276521</v>
      </c>
      <c r="G1304" s="7">
        <f>+VLOOKUP(A1304,'Undivideable Expenses'!D$104:AG$201,24,0)</f>
        <v>3340.7999999999997</v>
      </c>
      <c r="H1304" s="7">
        <f t="shared" si="343"/>
        <v>79.145672436750985</v>
      </c>
    </row>
    <row r="1305" spans="1:8" x14ac:dyDescent="0.25">
      <c r="A1305" s="6">
        <v>45876</v>
      </c>
      <c r="B1305" s="7">
        <v>62.5</v>
      </c>
      <c r="C1305">
        <f>+VLOOKUP(A1305,'Undivideable Expenses'!$D$104:$AH$201,25,0)</f>
        <v>22606.25</v>
      </c>
      <c r="D1305" s="7">
        <f t="shared" si="342"/>
        <v>0.27647221454243853</v>
      </c>
      <c r="G1305" s="7">
        <f>+VLOOKUP(A1305,'Undivideable Expenses'!D$104:AG$201,24,0)</f>
        <v>4386.2</v>
      </c>
      <c r="H1305" s="7">
        <f t="shared" si="343"/>
        <v>12.126624274260438</v>
      </c>
    </row>
    <row r="1306" spans="1:8" x14ac:dyDescent="0.25">
      <c r="A1306" s="6">
        <v>45877</v>
      </c>
      <c r="B1306" s="7">
        <v>317.5</v>
      </c>
      <c r="C1306">
        <f>+VLOOKUP(A1306,'Undivideable Expenses'!$D$104:$AH$201,25,0)</f>
        <v>23016.25</v>
      </c>
      <c r="D1306" s="7">
        <f t="shared" si="342"/>
        <v>1.379460164014555</v>
      </c>
      <c r="G1306" s="7">
        <f>+VLOOKUP(A1306,'Undivideable Expenses'!D$104:AG$201,24,0)</f>
        <v>4684.3999999999996</v>
      </c>
      <c r="H1306" s="7">
        <f t="shared" si="343"/>
        <v>64.619431923097807</v>
      </c>
    </row>
    <row r="1307" spans="1:8" x14ac:dyDescent="0.25">
      <c r="A1307" s="6">
        <v>45881</v>
      </c>
      <c r="B1307" s="7">
        <v>230</v>
      </c>
      <c r="C1307">
        <f>+VLOOKUP(A1307,'Undivideable Expenses'!$D$104:$AH$201,25,0)</f>
        <v>24345</v>
      </c>
      <c r="D1307" s="7">
        <f t="shared" si="342"/>
        <v>0.94475251591702603</v>
      </c>
      <c r="G1307" s="7">
        <f>+VLOOKUP(A1307,'Undivideable Expenses'!D$104:AG$201,24,0)</f>
        <v>4295.7400000000007</v>
      </c>
      <c r="H1307" s="7">
        <f t="shared" si="343"/>
        <v>40.584111727254061</v>
      </c>
    </row>
    <row r="1308" spans="1:8" x14ac:dyDescent="0.25">
      <c r="A1308" s="6">
        <v>45882</v>
      </c>
      <c r="B1308" s="7">
        <v>230</v>
      </c>
      <c r="C1308">
        <f>+VLOOKUP(A1308,'Undivideable Expenses'!$D$104:$AH$201,25,0)</f>
        <v>26184.17</v>
      </c>
      <c r="D1308" s="7">
        <f t="shared" si="342"/>
        <v>0.87839331932232345</v>
      </c>
      <c r="G1308" s="7">
        <f>+VLOOKUP(A1308,'Undivideable Expenses'!D$104:AG$201,24,0)</f>
        <v>3957.21</v>
      </c>
      <c r="H1308" s="7">
        <f t="shared" si="343"/>
        <v>34.759868271554915</v>
      </c>
    </row>
    <row r="1309" spans="1:8" x14ac:dyDescent="0.25">
      <c r="A1309" s="6">
        <v>45884</v>
      </c>
      <c r="B1309" s="7">
        <v>188</v>
      </c>
      <c r="C1309">
        <f>+VLOOKUP(A1309,'Undivideable Expenses'!$D$104:$AH$201,25,0)</f>
        <v>20656</v>
      </c>
      <c r="D1309" s="7">
        <f t="shared" si="342"/>
        <v>0.91014717273431456</v>
      </c>
      <c r="G1309" s="7">
        <f>+VLOOKUP(A1309,'Undivideable Expenses'!D$104:AG$201,24,0)</f>
        <v>3357.6000000000004</v>
      </c>
      <c r="H1309" s="7">
        <f t="shared" si="343"/>
        <v>30.559101471727345</v>
      </c>
    </row>
    <row r="1310" spans="1:8" x14ac:dyDescent="0.25">
      <c r="A1310" s="6">
        <v>45885</v>
      </c>
      <c r="B1310" s="7">
        <v>117.5</v>
      </c>
      <c r="C1310">
        <f>+VLOOKUP(A1310,'Undivideable Expenses'!$D$104:$AH$201,25,0)</f>
        <v>21450</v>
      </c>
      <c r="D1310" s="7">
        <f t="shared" si="342"/>
        <v>0.54778554778554778</v>
      </c>
      <c r="G1310" s="7">
        <f>+VLOOKUP(A1310,'Undivideable Expenses'!D$104:AG$201,24,0)</f>
        <v>4085.5499999999997</v>
      </c>
      <c r="H1310" s="7">
        <f t="shared" si="343"/>
        <v>22.380052447552448</v>
      </c>
    </row>
    <row r="1313" spans="1:8" x14ac:dyDescent="0.25">
      <c r="A1313" s="8" t="s">
        <v>6</v>
      </c>
      <c r="B1313" s="8" t="s">
        <v>254</v>
      </c>
      <c r="C1313" s="22" t="s">
        <v>50</v>
      </c>
      <c r="D1313" s="22" t="s">
        <v>9</v>
      </c>
    </row>
    <row r="1314" spans="1:8" x14ac:dyDescent="0.25">
      <c r="A1314" s="6">
        <v>45846</v>
      </c>
      <c r="B1314">
        <v>172.5</v>
      </c>
      <c r="C1314">
        <f>VLOOKUP(A1314,'Undivideable Expenses'!$D$69:$AB$101,25,0)</f>
        <v>20686</v>
      </c>
      <c r="D1314" s="7">
        <f t="shared" ref="D1314" si="344">+B1314/C1314*100</f>
        <v>0.83389732186019538</v>
      </c>
      <c r="G1314" s="7">
        <f>VLOOKUP(A1314,'Undivideable Expenses'!$D$69:$AB$101,24,0)</f>
        <v>4242.09</v>
      </c>
      <c r="H1314" s="7">
        <f t="shared" ref="H1314" si="345">+G1314/100*D1314</f>
        <v>35.374674900899166</v>
      </c>
    </row>
    <row r="1315" spans="1:8" x14ac:dyDescent="0.25">
      <c r="A1315" s="6">
        <v>45869</v>
      </c>
      <c r="B1315">
        <v>446.25</v>
      </c>
      <c r="C1315">
        <f>VLOOKUP(A1315,'Undivideable Expenses'!D87:AB119,25,0)</f>
        <v>18656.25</v>
      </c>
      <c r="D1315" s="7">
        <f t="shared" ref="D1315:D1316" si="346">+B1315/C1315*100</f>
        <v>2.391959798994975</v>
      </c>
      <c r="G1315" s="7">
        <f>VLOOKUP(A1315,'Undivideable Expenses'!D87:AB119,24,0)</f>
        <v>3641.3899999999994</v>
      </c>
      <c r="H1315" s="7">
        <f t="shared" ref="H1315:H1316" si="347">+G1315/100*D1315</f>
        <v>87.100584924623092</v>
      </c>
    </row>
    <row r="1316" spans="1:8" x14ac:dyDescent="0.25">
      <c r="A1316" s="6">
        <v>45870</v>
      </c>
      <c r="B1316">
        <v>5260</v>
      </c>
      <c r="C1316">
        <f>+VLOOKUP(A1316,'Undivideable Expenses'!$D$104:$AH$201,25,0)</f>
        <v>24640</v>
      </c>
      <c r="D1316" s="7">
        <f t="shared" si="346"/>
        <v>21.347402597402599</v>
      </c>
      <c r="G1316" s="7">
        <f>+VLOOKUP(A1316,'Undivideable Expenses'!D$104:AG$201,24,0)</f>
        <v>4191.45</v>
      </c>
      <c r="H1316" s="7">
        <f t="shared" si="347"/>
        <v>894.76570616883123</v>
      </c>
    </row>
    <row r="1317" spans="1:8" x14ac:dyDescent="0.25">
      <c r="A1317" s="6">
        <v>45871</v>
      </c>
      <c r="B1317">
        <v>5037.5</v>
      </c>
      <c r="C1317">
        <f>+VLOOKUP(A1317,'Undivideable Expenses'!$D$104:$AH$201,25,0)</f>
        <v>20507</v>
      </c>
      <c r="D1317" s="7">
        <f t="shared" ref="D1317:D1328" si="348">+B1317/C1317*100</f>
        <v>24.564782757107327</v>
      </c>
      <c r="G1317" s="7">
        <f>+VLOOKUP(A1317,'Undivideable Expenses'!D$104:AG$201,24,0)</f>
        <v>3883.6800000000003</v>
      </c>
      <c r="H1317" s="7">
        <f t="shared" ref="H1317:H1328" si="349">+G1317/100*D1317</f>
        <v>954.01755498122589</v>
      </c>
    </row>
    <row r="1318" spans="1:8" x14ac:dyDescent="0.25">
      <c r="A1318" s="6">
        <v>45873</v>
      </c>
      <c r="B1318">
        <v>4060</v>
      </c>
      <c r="C1318">
        <f>+VLOOKUP(A1318,'Undivideable Expenses'!$D$104:$AH$201,25,0)</f>
        <v>18660</v>
      </c>
      <c r="D1318" s="7">
        <f t="shared" si="348"/>
        <v>21.757770632368704</v>
      </c>
      <c r="G1318" s="7">
        <f>+VLOOKUP(A1318,'Undivideable Expenses'!D$104:AG$201,24,0)</f>
        <v>3492.6099999999997</v>
      </c>
      <c r="H1318" s="7">
        <f t="shared" si="349"/>
        <v>759.91407288317259</v>
      </c>
    </row>
    <row r="1319" spans="1:8" x14ac:dyDescent="0.25">
      <c r="A1319" s="6">
        <v>45874</v>
      </c>
      <c r="B1319">
        <v>4218.75</v>
      </c>
      <c r="C1319">
        <f>+VLOOKUP(A1319,'Undivideable Expenses'!$D$104:$AH$201,25,0)</f>
        <v>22530</v>
      </c>
      <c r="D1319" s="7">
        <f t="shared" si="348"/>
        <v>18.725033288948069</v>
      </c>
      <c r="G1319" s="7">
        <f>+VLOOKUP(A1319,'Undivideable Expenses'!D$104:AG$201,24,0)</f>
        <v>3340.7999999999997</v>
      </c>
      <c r="H1319" s="7">
        <f t="shared" si="349"/>
        <v>625.56591211717694</v>
      </c>
    </row>
    <row r="1320" spans="1:8" x14ac:dyDescent="0.25">
      <c r="A1320" s="6">
        <v>45875</v>
      </c>
      <c r="B1320">
        <v>3817.5</v>
      </c>
      <c r="C1320">
        <f>+VLOOKUP(A1320,'Undivideable Expenses'!$D$104:$AH$201,25,0)</f>
        <v>23607.5</v>
      </c>
      <c r="D1320" s="7">
        <f t="shared" si="348"/>
        <v>16.17070846129408</v>
      </c>
      <c r="G1320" s="7">
        <f>+VLOOKUP(A1320,'Undivideable Expenses'!D$104:AG$201,24,0)</f>
        <v>4156.72</v>
      </c>
      <c r="H1320" s="7">
        <f t="shared" si="349"/>
        <v>672.1710727523033</v>
      </c>
    </row>
    <row r="1321" spans="1:8" x14ac:dyDescent="0.25">
      <c r="A1321" s="6">
        <v>45876</v>
      </c>
      <c r="B1321">
        <v>4152.5</v>
      </c>
      <c r="C1321">
        <f>+VLOOKUP(A1321,'Undivideable Expenses'!$D$104:$AH$201,25,0)</f>
        <v>22606.25</v>
      </c>
      <c r="D1321" s="7">
        <f t="shared" si="348"/>
        <v>18.368813934199611</v>
      </c>
      <c r="G1321" s="7">
        <f>+VLOOKUP(A1321,'Undivideable Expenses'!D$104:AG$201,24,0)</f>
        <v>4386.2</v>
      </c>
      <c r="H1321" s="7">
        <f t="shared" si="349"/>
        <v>805.69291678186323</v>
      </c>
    </row>
    <row r="1322" spans="1:8" x14ac:dyDescent="0.25">
      <c r="A1322" s="6">
        <v>45877</v>
      </c>
      <c r="B1322">
        <v>1866.25</v>
      </c>
      <c r="C1322">
        <f>+VLOOKUP(A1322,'Undivideable Expenses'!$D$104:$AH$201,25,0)</f>
        <v>23016.25</v>
      </c>
      <c r="D1322" s="7">
        <f t="shared" si="348"/>
        <v>8.1084016727312225</v>
      </c>
      <c r="G1322" s="7">
        <f>+VLOOKUP(A1322,'Undivideable Expenses'!D$104:AG$201,24,0)</f>
        <v>4684.3999999999996</v>
      </c>
      <c r="H1322" s="7">
        <f t="shared" si="349"/>
        <v>379.82996795742133</v>
      </c>
    </row>
    <row r="1323" spans="1:8" x14ac:dyDescent="0.25">
      <c r="A1323" s="6">
        <v>45880</v>
      </c>
      <c r="B1323">
        <v>795</v>
      </c>
      <c r="C1323">
        <f>+VLOOKUP(A1323,'Undivideable Expenses'!$D$104:$AH$201,25,0)</f>
        <v>16622.5</v>
      </c>
      <c r="D1323" s="7">
        <f t="shared" si="348"/>
        <v>4.7826740863287709</v>
      </c>
      <c r="G1323" s="7">
        <f>+VLOOKUP(A1323,'Undivideable Expenses'!D$104:AG$201,24,0)</f>
        <v>1798.2399999999998</v>
      </c>
      <c r="H1323" s="7">
        <f t="shared" si="349"/>
        <v>86.003958489998482</v>
      </c>
    </row>
    <row r="1324" spans="1:8" x14ac:dyDescent="0.25">
      <c r="A1324" s="6">
        <v>45881</v>
      </c>
      <c r="B1324">
        <v>990</v>
      </c>
      <c r="C1324">
        <f>+VLOOKUP(A1324,'Undivideable Expenses'!$D$104:$AH$201,25,0)</f>
        <v>24345</v>
      </c>
      <c r="D1324" s="7">
        <f t="shared" si="348"/>
        <v>4.066543438077634</v>
      </c>
      <c r="G1324" s="7">
        <f>+VLOOKUP(A1324,'Undivideable Expenses'!D$104:AG$201,24,0)</f>
        <v>4295.7400000000007</v>
      </c>
      <c r="H1324" s="7">
        <f t="shared" si="349"/>
        <v>174.68813308687618</v>
      </c>
    </row>
    <row r="1325" spans="1:8" x14ac:dyDescent="0.25">
      <c r="A1325" s="6">
        <v>45882</v>
      </c>
      <c r="B1325">
        <v>1216.25</v>
      </c>
      <c r="C1325">
        <f>+VLOOKUP(A1325,'Undivideable Expenses'!$D$104:$AH$201,25,0)</f>
        <v>26184.17</v>
      </c>
      <c r="D1325" s="7">
        <f t="shared" si="348"/>
        <v>4.6449820635903301</v>
      </c>
      <c r="G1325" s="7">
        <f>+VLOOKUP(A1325,'Undivideable Expenses'!D$104:AG$201,24,0)</f>
        <v>3957.21</v>
      </c>
      <c r="H1325" s="7">
        <f t="shared" si="349"/>
        <v>183.81169471860289</v>
      </c>
    </row>
    <row r="1326" spans="1:8" x14ac:dyDescent="0.25">
      <c r="A1326" s="6">
        <v>45883</v>
      </c>
      <c r="B1326">
        <v>240</v>
      </c>
      <c r="C1326">
        <f>+VLOOKUP(A1326,'Undivideable Expenses'!$D$104:$AH$201,25,0)</f>
        <v>26731.25</v>
      </c>
      <c r="D1326" s="7">
        <f t="shared" si="348"/>
        <v>0.89782557867664259</v>
      </c>
      <c r="G1326" s="7">
        <f>+VLOOKUP(A1326,'Undivideable Expenses'!D$104:AG$201,24,0)</f>
        <v>4330.0099999999993</v>
      </c>
      <c r="H1326" s="7">
        <f t="shared" si="349"/>
        <v>38.875937339256488</v>
      </c>
    </row>
    <row r="1327" spans="1:8" x14ac:dyDescent="0.25">
      <c r="A1327" s="6">
        <v>45884</v>
      </c>
      <c r="B1327">
        <v>160</v>
      </c>
      <c r="C1327">
        <f>+VLOOKUP(A1327,'Undivideable Expenses'!$D$104:$AH$201,25,0)</f>
        <v>20656</v>
      </c>
      <c r="D1327" s="7">
        <f t="shared" si="348"/>
        <v>0.77459333849728895</v>
      </c>
      <c r="G1327" s="7">
        <f>+VLOOKUP(A1327,'Undivideable Expenses'!D$104:AG$201,24,0)</f>
        <v>3357.6000000000004</v>
      </c>
      <c r="H1327" s="7">
        <f t="shared" si="349"/>
        <v>26.007745933384975</v>
      </c>
    </row>
    <row r="1328" spans="1:8" x14ac:dyDescent="0.25">
      <c r="A1328" s="6">
        <v>45925</v>
      </c>
      <c r="B1328">
        <v>82.5</v>
      </c>
      <c r="C1328">
        <f>+VLOOKUP(A1328,'Undivideable Expenses'!$D$104:$AH$201,31,0)</f>
        <v>24938.75</v>
      </c>
      <c r="D1328" s="7">
        <f t="shared" si="348"/>
        <v>0.33081048568994037</v>
      </c>
      <c r="G1328" s="7">
        <f>+VLOOKUP(A1328,'Undivideable Expenses'!D$104:AG$201,30,0)</f>
        <v>3941.13</v>
      </c>
      <c r="H1328" s="7">
        <f t="shared" si="349"/>
        <v>13.037671294671949</v>
      </c>
    </row>
    <row r="1330" spans="1:8" x14ac:dyDescent="0.25">
      <c r="A1330" t="s">
        <v>256</v>
      </c>
    </row>
    <row r="1331" spans="1:8" x14ac:dyDescent="0.25">
      <c r="A1331" s="8" t="s">
        <v>6</v>
      </c>
      <c r="B1331" s="8" t="s">
        <v>255</v>
      </c>
      <c r="C1331" s="22" t="s">
        <v>50</v>
      </c>
      <c r="D1331" s="22" t="s">
        <v>9</v>
      </c>
    </row>
    <row r="1332" spans="1:8" x14ac:dyDescent="0.25">
      <c r="A1332" s="6">
        <v>45846</v>
      </c>
      <c r="B1332">
        <v>172.5</v>
      </c>
      <c r="C1332">
        <f>VLOOKUP(A1332,'Undivideable Expenses'!$D$69:$AB$101,25,0)</f>
        <v>20686</v>
      </c>
      <c r="D1332" s="7">
        <f t="shared" ref="D1332:D1333" si="350">+B1332/C1332*100</f>
        <v>0.83389732186019538</v>
      </c>
      <c r="G1332" s="7">
        <f>VLOOKUP(A1332,'Undivideable Expenses'!$D$69:$AB$101,24,0)</f>
        <v>4242.09</v>
      </c>
      <c r="H1332" s="7">
        <f t="shared" ref="H1332:H1333" si="351">+G1332/100*D1332</f>
        <v>35.374674900899166</v>
      </c>
    </row>
    <row r="1333" spans="1:8" x14ac:dyDescent="0.25">
      <c r="A1333" s="6">
        <v>45871</v>
      </c>
      <c r="B1333">
        <v>747.5</v>
      </c>
      <c r="C1333">
        <f>+VLOOKUP(A1333,'Undivideable Expenses'!$D$104:$AH$201,25,0)</f>
        <v>20507</v>
      </c>
      <c r="D1333" s="7">
        <f t="shared" si="350"/>
        <v>3.6450967962159262</v>
      </c>
      <c r="G1333" s="7">
        <f>+VLOOKUP(A1333,'Undivideable Expenses'!D$104:AG$201,24,0)</f>
        <v>3883.6800000000003</v>
      </c>
      <c r="H1333" s="7">
        <f t="shared" si="351"/>
        <v>141.56389525527871</v>
      </c>
    </row>
    <row r="1334" spans="1:8" x14ac:dyDescent="0.25">
      <c r="A1334" s="6">
        <v>45873</v>
      </c>
      <c r="B1334">
        <v>1916.25</v>
      </c>
      <c r="C1334">
        <f>+VLOOKUP(A1334,'Undivideable Expenses'!$D$104:$AH$201,25,0)</f>
        <v>18660</v>
      </c>
      <c r="D1334" s="7">
        <f t="shared" ref="D1334:D1342" si="352">+B1334/C1334*100</f>
        <v>10.269292604501608</v>
      </c>
      <c r="G1334" s="7">
        <f>+VLOOKUP(A1334,'Undivideable Expenses'!D$104:AG$201,24,0)</f>
        <v>3492.6099999999997</v>
      </c>
      <c r="H1334" s="7">
        <f t="shared" ref="H1334:H1342" si="353">+G1334/100*D1334</f>
        <v>358.66634043408357</v>
      </c>
    </row>
    <row r="1335" spans="1:8" x14ac:dyDescent="0.25">
      <c r="A1335" s="6">
        <v>45874</v>
      </c>
      <c r="B1335">
        <v>2262.5</v>
      </c>
      <c r="C1335">
        <f>+VLOOKUP(A1335,'Undivideable Expenses'!$D$104:$AH$201,25,0)</f>
        <v>22530</v>
      </c>
      <c r="D1335" s="7">
        <f t="shared" si="352"/>
        <v>10.042166000887704</v>
      </c>
      <c r="G1335" s="7">
        <f>+VLOOKUP(A1335,'Undivideable Expenses'!D$104:AG$201,24,0)</f>
        <v>3340.7999999999997</v>
      </c>
      <c r="H1335" s="7">
        <f t="shared" si="353"/>
        <v>335.48868175765637</v>
      </c>
    </row>
    <row r="1336" spans="1:8" x14ac:dyDescent="0.25">
      <c r="A1336" s="6">
        <v>45875</v>
      </c>
      <c r="B1336">
        <v>2342.5</v>
      </c>
      <c r="C1336">
        <f>+VLOOKUP(A1336,'Undivideable Expenses'!$D$104:$AH$201,25,0)</f>
        <v>23607.5</v>
      </c>
      <c r="D1336" s="7">
        <f t="shared" si="352"/>
        <v>9.9226940590913895</v>
      </c>
      <c r="G1336" s="7">
        <f>+VLOOKUP(A1336,'Undivideable Expenses'!D$104:AG$201,24,0)</f>
        <v>4156.72</v>
      </c>
      <c r="H1336" s="7">
        <f t="shared" si="353"/>
        <v>412.45860849306359</v>
      </c>
    </row>
    <row r="1337" spans="1:8" x14ac:dyDescent="0.25">
      <c r="A1337" s="6">
        <v>45876</v>
      </c>
      <c r="B1337">
        <v>3072.5</v>
      </c>
      <c r="C1337">
        <f>+VLOOKUP(A1337,'Undivideable Expenses'!$D$104:$AH$201,25,0)</f>
        <v>22606.25</v>
      </c>
      <c r="D1337" s="7">
        <f t="shared" si="352"/>
        <v>13.591374066906276</v>
      </c>
      <c r="G1337" s="7">
        <f>+VLOOKUP(A1337,'Undivideable Expenses'!D$104:AG$201,24,0)</f>
        <v>4386.2</v>
      </c>
      <c r="H1337" s="7">
        <f t="shared" si="353"/>
        <v>596.14484932264304</v>
      </c>
    </row>
    <row r="1338" spans="1:8" x14ac:dyDescent="0.25">
      <c r="A1338" s="6">
        <v>45877</v>
      </c>
      <c r="B1338">
        <v>2696.25</v>
      </c>
      <c r="C1338">
        <f>+VLOOKUP(A1338,'Undivideable Expenses'!$D$104:$AH$201,25,0)</f>
        <v>23016.25</v>
      </c>
      <c r="D1338" s="7">
        <f t="shared" si="352"/>
        <v>11.714549503068485</v>
      </c>
      <c r="G1338" s="7">
        <f>+VLOOKUP(A1338,'Undivideable Expenses'!D$104:AG$201,24,0)</f>
        <v>4684.3999999999996</v>
      </c>
      <c r="H1338" s="7">
        <f t="shared" si="353"/>
        <v>548.75635692174001</v>
      </c>
    </row>
    <row r="1339" spans="1:8" x14ac:dyDescent="0.25">
      <c r="A1339" s="6">
        <v>45880</v>
      </c>
      <c r="B1339">
        <v>1445.9375</v>
      </c>
      <c r="C1339">
        <f>+VLOOKUP(A1339,'Undivideable Expenses'!$D$104:$AH$201,25,0)</f>
        <v>16622.5</v>
      </c>
      <c r="D1339" s="7">
        <f t="shared" si="352"/>
        <v>8.6986764927056708</v>
      </c>
      <c r="G1339" s="7">
        <f>+VLOOKUP(A1339,'Undivideable Expenses'!D$104:AG$201,24,0)</f>
        <v>1798.2399999999998</v>
      </c>
      <c r="H1339" s="7">
        <f t="shared" si="353"/>
        <v>156.42308016243044</v>
      </c>
    </row>
    <row r="1340" spans="1:8" x14ac:dyDescent="0.25">
      <c r="A1340" s="6">
        <v>45881</v>
      </c>
      <c r="B1340">
        <v>785</v>
      </c>
      <c r="C1340">
        <f>+VLOOKUP(A1340,'Undivideable Expenses'!$D$104:$AH$201,25,0)</f>
        <v>24345</v>
      </c>
      <c r="D1340" s="7">
        <f t="shared" si="352"/>
        <v>3.2244814130211541</v>
      </c>
      <c r="G1340" s="7">
        <f>+VLOOKUP(A1340,'Undivideable Expenses'!D$104:AG$201,24,0)</f>
        <v>4295.7400000000007</v>
      </c>
      <c r="H1340" s="7">
        <f t="shared" si="353"/>
        <v>138.51533785171495</v>
      </c>
    </row>
    <row r="1341" spans="1:8" x14ac:dyDescent="0.25">
      <c r="A1341" s="6">
        <v>45883</v>
      </c>
      <c r="B1341">
        <v>65</v>
      </c>
      <c r="C1341">
        <f>+VLOOKUP(A1341,'Undivideable Expenses'!$D$104:$AH$201,25,0)</f>
        <v>26731.25</v>
      </c>
      <c r="D1341" s="7">
        <f t="shared" si="352"/>
        <v>0.24316109422492402</v>
      </c>
      <c r="G1341" s="7">
        <f>+VLOOKUP(A1341,'Undivideable Expenses'!D$104:AG$201,24,0)</f>
        <v>4330.0099999999993</v>
      </c>
      <c r="H1341" s="7">
        <f t="shared" si="353"/>
        <v>10.528899696048631</v>
      </c>
    </row>
    <row r="1342" spans="1:8" x14ac:dyDescent="0.25">
      <c r="A1342" s="6">
        <v>45902</v>
      </c>
      <c r="B1342">
        <v>200</v>
      </c>
      <c r="C1342">
        <f>+VLOOKUP(A1342,'Undivideable Expenses'!$D$104:$AH$201,31,0)</f>
        <v>23629.9</v>
      </c>
      <c r="D1342" s="7">
        <f t="shared" si="352"/>
        <v>0.84638529998010992</v>
      </c>
      <c r="G1342" s="7">
        <f>+VLOOKUP(A1342,'Undivideable Expenses'!D$104:AG$201,30,0)</f>
        <v>4535.63</v>
      </c>
      <c r="H1342" s="7">
        <f t="shared" si="353"/>
        <v>38.388905581487862</v>
      </c>
    </row>
    <row r="1343" spans="1:8" x14ac:dyDescent="0.25">
      <c r="A1343" s="6">
        <v>45903</v>
      </c>
      <c r="B1343">
        <v>315</v>
      </c>
      <c r="C1343">
        <f>+VLOOKUP(A1343,'Undivideable Expenses'!$D$104:$AH$201,31,0)</f>
        <v>23717.5</v>
      </c>
      <c r="D1343" s="7">
        <f t="shared" ref="D1343:D1345" si="354">+B1343/C1343*100</f>
        <v>1.3281332349530937</v>
      </c>
      <c r="G1343" s="7">
        <f>+VLOOKUP(A1343,'Undivideable Expenses'!D$104:AG$201,30,0)</f>
        <v>3824.46</v>
      </c>
      <c r="H1343" s="7">
        <f t="shared" ref="H1343:H1345" si="355">+G1343/100*D1343</f>
        <v>50.793924317487082</v>
      </c>
    </row>
    <row r="1344" spans="1:8" x14ac:dyDescent="0.25">
      <c r="A1344" s="6">
        <v>45904</v>
      </c>
      <c r="B1344">
        <v>100</v>
      </c>
      <c r="C1344">
        <f>+VLOOKUP(A1344,'Undivideable Expenses'!$D$104:$AH$201,31,0)</f>
        <v>18022</v>
      </c>
      <c r="D1344" s="7">
        <f t="shared" si="354"/>
        <v>0.55487737210076571</v>
      </c>
      <c r="G1344" s="7">
        <f>+VLOOKUP(A1344,'Undivideable Expenses'!D$104:AG$201,30,0)</f>
        <v>3321.4500000000003</v>
      </c>
      <c r="H1344" s="7">
        <f t="shared" si="355"/>
        <v>18.429974475640883</v>
      </c>
    </row>
    <row r="1345" spans="1:8" x14ac:dyDescent="0.25">
      <c r="A1345" s="6">
        <v>45915</v>
      </c>
      <c r="B1345">
        <v>220</v>
      </c>
      <c r="C1345">
        <f>+VLOOKUP(A1345,'Undivideable Expenses'!$D$104:$AH$201,31,0)</f>
        <v>26345.4</v>
      </c>
      <c r="D1345" s="7">
        <f t="shared" si="354"/>
        <v>0.83506039004911681</v>
      </c>
      <c r="G1345" s="7">
        <f>+VLOOKUP(A1345,'Undivideable Expenses'!D$104:AG$201,30,0)</f>
        <v>4497.5</v>
      </c>
      <c r="H1345" s="7">
        <f t="shared" si="355"/>
        <v>37.556841042459027</v>
      </c>
    </row>
    <row r="1347" spans="1:8" x14ac:dyDescent="0.25">
      <c r="A1347" t="s">
        <v>258</v>
      </c>
    </row>
    <row r="1348" spans="1:8" x14ac:dyDescent="0.25">
      <c r="A1348" s="8" t="s">
        <v>6</v>
      </c>
      <c r="B1348" s="8" t="s">
        <v>257</v>
      </c>
      <c r="C1348" s="22" t="s">
        <v>50</v>
      </c>
      <c r="D1348" s="22" t="s">
        <v>9</v>
      </c>
    </row>
    <row r="1349" spans="1:8" x14ac:dyDescent="0.25">
      <c r="A1349" s="6">
        <v>45869</v>
      </c>
      <c r="B1349" s="7">
        <v>965</v>
      </c>
      <c r="C1349">
        <f>VLOOKUP(A1349,'Undivideable Expenses'!$D$69:$AB$101,25,0)</f>
        <v>18656.25</v>
      </c>
      <c r="D1349" s="7">
        <f t="shared" ref="D1349:D1350" si="356">+B1349/C1349*100</f>
        <v>5.1725293132328307</v>
      </c>
      <c r="G1349" s="7">
        <f>VLOOKUP(A1349,'Undivideable Expenses'!$D$69:$AB$101,24,0)</f>
        <v>3641.3899999999994</v>
      </c>
      <c r="H1349" s="7">
        <f t="shared" ref="H1349:H1350" si="357">+G1349/100*D1349</f>
        <v>188.35196515912892</v>
      </c>
    </row>
    <row r="1350" spans="1:8" x14ac:dyDescent="0.25">
      <c r="A1350" s="6">
        <v>45870</v>
      </c>
      <c r="B1350" s="7">
        <v>2472.5</v>
      </c>
      <c r="C1350">
        <f>+VLOOKUP(A1350,'Undivideable Expenses'!$D$104:$AH$201,25,0)</f>
        <v>24640</v>
      </c>
      <c r="D1350" s="7">
        <f t="shared" si="356"/>
        <v>10.034496753246753</v>
      </c>
      <c r="G1350" s="7">
        <f>+VLOOKUP(A1350,'Undivideable Expenses'!D$104:AG$201,24,0)</f>
        <v>4191.45</v>
      </c>
      <c r="H1350" s="7">
        <f t="shared" si="357"/>
        <v>420.59091416396097</v>
      </c>
    </row>
    <row r="1351" spans="1:8" x14ac:dyDescent="0.25">
      <c r="A1351" s="6">
        <v>45871</v>
      </c>
      <c r="B1351" s="7">
        <v>1993.75</v>
      </c>
      <c r="C1351">
        <f>+VLOOKUP(A1351,'Undivideable Expenses'!$D$104:$AH$201,25,0)</f>
        <v>20507</v>
      </c>
      <c r="D1351" s="7">
        <f t="shared" ref="D1351:D1360" si="358">+B1351/C1351*100</f>
        <v>9.7222899497732485</v>
      </c>
      <c r="G1351" s="7">
        <f>+VLOOKUP(A1351,'Undivideable Expenses'!D$104:AG$201,24,0)</f>
        <v>3883.6800000000003</v>
      </c>
      <c r="H1351" s="7">
        <f t="shared" ref="H1351:H1360" si="359">+G1351/100*D1351</f>
        <v>377.58263032135375</v>
      </c>
    </row>
    <row r="1352" spans="1:8" x14ac:dyDescent="0.25">
      <c r="A1352" s="6">
        <v>45873</v>
      </c>
      <c r="B1352" s="7">
        <v>3211.25</v>
      </c>
      <c r="C1352">
        <f>+VLOOKUP(A1352,'Undivideable Expenses'!$D$104:$AH$201,25,0)</f>
        <v>18660</v>
      </c>
      <c r="D1352" s="7">
        <f t="shared" si="358"/>
        <v>17.209271168274384</v>
      </c>
      <c r="G1352" s="7">
        <f>+VLOOKUP(A1352,'Undivideable Expenses'!D$104:AG$201,24,0)</f>
        <v>3492.6099999999997</v>
      </c>
      <c r="H1352" s="7">
        <f t="shared" si="359"/>
        <v>601.05272575026788</v>
      </c>
    </row>
    <row r="1353" spans="1:8" x14ac:dyDescent="0.25">
      <c r="A1353" s="6">
        <v>45874</v>
      </c>
      <c r="B1353" s="7">
        <v>1872.5</v>
      </c>
      <c r="C1353">
        <f>+VLOOKUP(A1353,'Undivideable Expenses'!$D$104:$AH$201,25,0)</f>
        <v>22530</v>
      </c>
      <c r="D1353" s="7">
        <f t="shared" si="358"/>
        <v>8.3111407012871723</v>
      </c>
      <c r="G1353" s="7">
        <f>+VLOOKUP(A1353,'Undivideable Expenses'!D$104:AG$201,24,0)</f>
        <v>3340.7999999999997</v>
      </c>
      <c r="H1353" s="7">
        <f t="shared" si="359"/>
        <v>277.65858854860181</v>
      </c>
    </row>
    <row r="1354" spans="1:8" x14ac:dyDescent="0.25">
      <c r="A1354" s="6">
        <v>45877</v>
      </c>
      <c r="B1354" s="7">
        <v>321.25</v>
      </c>
      <c r="C1354">
        <f>+VLOOKUP(A1354,'Undivideable Expenses'!$D$104:$AH$201,25,0)</f>
        <v>23016.25</v>
      </c>
      <c r="D1354" s="7">
        <f t="shared" si="358"/>
        <v>1.3957530005974039</v>
      </c>
      <c r="G1354" s="7">
        <f>+VLOOKUP(A1354,'Undivideable Expenses'!D$104:AG$201,24,0)</f>
        <v>4684.3999999999996</v>
      </c>
      <c r="H1354" s="7">
        <f t="shared" si="359"/>
        <v>65.382653559984774</v>
      </c>
    </row>
    <row r="1355" spans="1:8" x14ac:dyDescent="0.25">
      <c r="A1355" s="6">
        <v>45890</v>
      </c>
      <c r="B1355" s="7">
        <v>812.5</v>
      </c>
      <c r="C1355">
        <f>+VLOOKUP(A1355,'Undivideable Expenses'!$D$104:$AH$201,25,0)</f>
        <v>19860</v>
      </c>
      <c r="D1355" s="7">
        <f t="shared" si="358"/>
        <v>4.0911379657603222</v>
      </c>
      <c r="G1355" s="7">
        <f>+VLOOKUP(A1355,'Undivideable Expenses'!D$104:AG$201,24,0)</f>
        <v>3383.0199999999995</v>
      </c>
      <c r="H1355" s="7">
        <f t="shared" si="359"/>
        <v>138.40401560926483</v>
      </c>
    </row>
    <row r="1356" spans="1:8" x14ac:dyDescent="0.25">
      <c r="A1356" s="6">
        <v>45891</v>
      </c>
      <c r="B1356" s="7">
        <v>3967.5</v>
      </c>
      <c r="C1356">
        <f>+VLOOKUP(A1356,'Undivideable Expenses'!$D$104:$AH$201,25,0)</f>
        <v>20840</v>
      </c>
      <c r="D1356" s="7">
        <f t="shared" si="358"/>
        <v>19.037907869481767</v>
      </c>
      <c r="G1356" s="7">
        <f>+VLOOKUP(A1356,'Undivideable Expenses'!D$104:AG$201,24,0)</f>
        <v>3028.45</v>
      </c>
      <c r="H1356" s="7">
        <f t="shared" si="359"/>
        <v>576.55352087332051</v>
      </c>
    </row>
    <row r="1357" spans="1:8" x14ac:dyDescent="0.25">
      <c r="A1357" s="6">
        <v>45892</v>
      </c>
      <c r="B1357" s="7">
        <v>5001.25</v>
      </c>
      <c r="C1357">
        <f>+VLOOKUP(A1357,'Undivideable Expenses'!$D$104:$AH$201,25,0)</f>
        <v>19889.38</v>
      </c>
      <c r="D1357" s="7">
        <f t="shared" si="358"/>
        <v>25.145328813668399</v>
      </c>
      <c r="G1357" s="7">
        <f>+VLOOKUP(A1357,'Undivideable Expenses'!D$104:AG$201,24,0)</f>
        <v>3656.3</v>
      </c>
      <c r="H1357" s="7">
        <f t="shared" si="359"/>
        <v>919.38865741415771</v>
      </c>
    </row>
    <row r="1358" spans="1:8" x14ac:dyDescent="0.25">
      <c r="A1358" s="6">
        <v>45893</v>
      </c>
      <c r="B1358" s="7">
        <v>2226.6666666666665</v>
      </c>
      <c r="C1358">
        <f>+VLOOKUP(A1358,'Undivideable Expenses'!$D$104:$AH$201,25,0)</f>
        <v>15682.42</v>
      </c>
      <c r="D1358" s="7">
        <f t="shared" si="358"/>
        <v>14.198488923690771</v>
      </c>
      <c r="G1358" s="7">
        <f>+VLOOKUP(A1358,'Undivideable Expenses'!D$104:AG$201,24,0)</f>
        <v>3480.49</v>
      </c>
      <c r="H1358" s="7">
        <f t="shared" si="359"/>
        <v>494.1769871401649</v>
      </c>
    </row>
    <row r="1359" spans="1:8" x14ac:dyDescent="0.25">
      <c r="A1359" s="6">
        <v>45894</v>
      </c>
      <c r="B1359" s="7">
        <v>2276.25</v>
      </c>
      <c r="C1359">
        <f>+VLOOKUP(A1359,'Undivideable Expenses'!$D$104:$AH$201,25,0)</f>
        <v>27073.75</v>
      </c>
      <c r="D1359" s="7">
        <f t="shared" si="358"/>
        <v>8.4075903781338024</v>
      </c>
      <c r="G1359" s="7">
        <f>+VLOOKUP(A1359,'Undivideable Expenses'!D$104:AG$201,24,0)</f>
        <v>4548.1900000000005</v>
      </c>
      <c r="H1359" s="7">
        <f t="shared" si="359"/>
        <v>382.3931848192438</v>
      </c>
    </row>
    <row r="1360" spans="1:8" x14ac:dyDescent="0.25">
      <c r="A1360" s="6">
        <v>45904</v>
      </c>
      <c r="B1360" s="7">
        <v>122.5</v>
      </c>
      <c r="C1360">
        <f>+VLOOKUP(A1360,'Undivideable Expenses'!$D$104:$AH$201,31,0)</f>
        <v>18022</v>
      </c>
      <c r="D1360" s="7">
        <f t="shared" si="358"/>
        <v>0.67972478082343801</v>
      </c>
      <c r="G1360" s="7">
        <f>+VLOOKUP(A1360,'Undivideable Expenses'!D$104:AG$201,30,0)</f>
        <v>3321.4500000000003</v>
      </c>
      <c r="H1360" s="7">
        <f t="shared" si="359"/>
        <v>22.576718732660083</v>
      </c>
    </row>
    <row r="1362" spans="1:8" x14ac:dyDescent="0.25">
      <c r="A1362" t="s">
        <v>260</v>
      </c>
    </row>
    <row r="1363" spans="1:8" x14ac:dyDescent="0.25">
      <c r="A1363" s="8" t="s">
        <v>6</v>
      </c>
      <c r="B1363" s="8" t="s">
        <v>259</v>
      </c>
      <c r="C1363" s="22" t="s">
        <v>50</v>
      </c>
      <c r="D1363" s="22" t="s">
        <v>9</v>
      </c>
    </row>
    <row r="1364" spans="1:8" x14ac:dyDescent="0.25">
      <c r="A1364" s="6">
        <v>45882</v>
      </c>
      <c r="B1364">
        <v>500</v>
      </c>
      <c r="C1364">
        <f>+VLOOKUP(A1364,'Undivideable Expenses'!$D$104:$AH$201,25,0)</f>
        <v>26184.17</v>
      </c>
      <c r="D1364" s="7">
        <f t="shared" ref="D1364" si="360">+B1364/C1364*100</f>
        <v>1.9095506941789642</v>
      </c>
      <c r="G1364" s="7">
        <f>+VLOOKUP(A1364,'Undivideable Expenses'!D$104:AG$201,24,0)</f>
        <v>3957.21</v>
      </c>
      <c r="H1364" s="7">
        <f t="shared" ref="H1364" si="361">+G1364/100*D1364</f>
        <v>75.564931025119392</v>
      </c>
    </row>
    <row r="1365" spans="1:8" x14ac:dyDescent="0.25">
      <c r="A1365" s="6">
        <v>45883</v>
      </c>
      <c r="B1365">
        <v>2935</v>
      </c>
      <c r="C1365">
        <f>+VLOOKUP(A1365,'Undivideable Expenses'!$D$104:$AH$201,25,0)</f>
        <v>26731.25</v>
      </c>
      <c r="D1365" s="7">
        <f t="shared" ref="D1365:D1381" si="362">+B1365/C1365*100</f>
        <v>10.979658639233108</v>
      </c>
      <c r="G1365" s="7">
        <f>+VLOOKUP(A1365,'Undivideable Expenses'!D$104:AG$201,24,0)</f>
        <v>4330.0099999999993</v>
      </c>
      <c r="H1365" s="7">
        <f t="shared" ref="H1365:H1381" si="363">+G1365/100*D1365</f>
        <v>475.42031704465745</v>
      </c>
    </row>
    <row r="1366" spans="1:8" x14ac:dyDescent="0.25">
      <c r="A1366" s="6">
        <v>45884</v>
      </c>
      <c r="B1366">
        <v>1946.6666666666667</v>
      </c>
      <c r="C1366">
        <f>+VLOOKUP(A1366,'Undivideable Expenses'!$D$104:$AH$201,25,0)</f>
        <v>20656</v>
      </c>
      <c r="D1366" s="7">
        <f t="shared" si="362"/>
        <v>9.4242189517170161</v>
      </c>
      <c r="G1366" s="7">
        <f>+VLOOKUP(A1366,'Undivideable Expenses'!D$104:AG$201,24,0)</f>
        <v>3357.6000000000004</v>
      </c>
      <c r="H1366" s="7">
        <f t="shared" si="363"/>
        <v>316.42757552285053</v>
      </c>
    </row>
    <row r="1367" spans="1:8" x14ac:dyDescent="0.25">
      <c r="A1367" s="6">
        <v>45885</v>
      </c>
      <c r="B1367">
        <v>1603.75</v>
      </c>
      <c r="C1367">
        <f>+VLOOKUP(A1367,'Undivideable Expenses'!$D$104:$AH$201,25,0)</f>
        <v>21450</v>
      </c>
      <c r="D1367" s="7">
        <f t="shared" si="362"/>
        <v>7.4766899766899764</v>
      </c>
      <c r="G1367" s="7">
        <f>+VLOOKUP(A1367,'Undivideable Expenses'!D$104:AG$201,24,0)</f>
        <v>4085.5499999999997</v>
      </c>
      <c r="H1367" s="7">
        <f t="shared" si="363"/>
        <v>305.46390734265731</v>
      </c>
    </row>
    <row r="1368" spans="1:8" x14ac:dyDescent="0.25">
      <c r="A1368" s="6">
        <v>45887</v>
      </c>
      <c r="B1368">
        <v>1216.25</v>
      </c>
      <c r="C1368">
        <f>+VLOOKUP(A1368,'Undivideable Expenses'!$D$104:$AH$201,25,0)</f>
        <v>25291.56</v>
      </c>
      <c r="D1368" s="7">
        <f t="shared" si="362"/>
        <v>4.8089164923001979</v>
      </c>
      <c r="G1368" s="7">
        <f>+VLOOKUP(A1368,'Undivideable Expenses'!D$104:AG$201,24,0)</f>
        <v>4024.5600000000004</v>
      </c>
      <c r="H1368" s="7">
        <f t="shared" si="363"/>
        <v>193.53772958251685</v>
      </c>
    </row>
    <row r="1369" spans="1:8" x14ac:dyDescent="0.25">
      <c r="A1369" s="6">
        <v>45888</v>
      </c>
      <c r="B1369">
        <v>2005</v>
      </c>
      <c r="C1369">
        <f>+VLOOKUP(A1369,'Undivideable Expenses'!$D$104:$AH$201,25,0)</f>
        <v>26357.5</v>
      </c>
      <c r="D1369" s="7">
        <f t="shared" si="362"/>
        <v>7.6069429953523668</v>
      </c>
      <c r="G1369" s="7">
        <f>+VLOOKUP(A1369,'Undivideable Expenses'!D$104:AG$201,24,0)</f>
        <v>4637.76</v>
      </c>
      <c r="H1369" s="7">
        <f t="shared" si="363"/>
        <v>352.79175946125395</v>
      </c>
    </row>
    <row r="1370" spans="1:8" x14ac:dyDescent="0.25">
      <c r="A1370" s="6">
        <v>45889</v>
      </c>
      <c r="B1370">
        <v>4123.75</v>
      </c>
      <c r="C1370">
        <f>+VLOOKUP(A1370,'Undivideable Expenses'!$D$104:$AH$201,25,0)</f>
        <v>24320.63</v>
      </c>
      <c r="D1370" s="7">
        <f t="shared" si="362"/>
        <v>16.955769649059256</v>
      </c>
      <c r="G1370" s="7">
        <f>+VLOOKUP(A1370,'Undivideable Expenses'!D$104:AG$201,24,0)</f>
        <v>4339.57</v>
      </c>
      <c r="H1370" s="7">
        <f t="shared" si="363"/>
        <v>735.80749295968076</v>
      </c>
    </row>
    <row r="1371" spans="1:8" x14ac:dyDescent="0.25">
      <c r="A1371" s="6">
        <v>45890</v>
      </c>
      <c r="B1371">
        <v>3130</v>
      </c>
      <c r="C1371">
        <f>+VLOOKUP(A1371,'Undivideable Expenses'!$D$104:$AH$201,25,0)</f>
        <v>19860</v>
      </c>
      <c r="D1371" s="7">
        <f t="shared" si="362"/>
        <v>15.760322255790534</v>
      </c>
      <c r="G1371" s="7">
        <f>+VLOOKUP(A1371,'Undivideable Expenses'!D$104:AG$201,24,0)</f>
        <v>3383.0199999999995</v>
      </c>
      <c r="H1371" s="7">
        <f t="shared" si="363"/>
        <v>533.17485397784492</v>
      </c>
    </row>
    <row r="1372" spans="1:8" x14ac:dyDescent="0.25">
      <c r="A1372" s="6">
        <v>45891</v>
      </c>
      <c r="B1372">
        <v>3146.25</v>
      </c>
      <c r="C1372">
        <f>+VLOOKUP(A1372,'Undivideable Expenses'!$D$104:$AH$201,25,0)</f>
        <v>20840</v>
      </c>
      <c r="D1372" s="7">
        <f t="shared" si="362"/>
        <v>15.097168905950095</v>
      </c>
      <c r="G1372" s="7">
        <f>+VLOOKUP(A1372,'Undivideable Expenses'!D$104:AG$201,24,0)</f>
        <v>3028.45</v>
      </c>
      <c r="H1372" s="7">
        <f t="shared" si="363"/>
        <v>457.21021173224563</v>
      </c>
    </row>
    <row r="1373" spans="1:8" x14ac:dyDescent="0.25">
      <c r="A1373" s="6">
        <v>45892</v>
      </c>
      <c r="B1373">
        <v>2350</v>
      </c>
      <c r="C1373">
        <f>+VLOOKUP(A1373,'Undivideable Expenses'!$D$104:$AH$201,25,0)</f>
        <v>19889.38</v>
      </c>
      <c r="D1373" s="7">
        <f t="shared" si="362"/>
        <v>11.81535070474796</v>
      </c>
      <c r="G1373" s="7">
        <f>+VLOOKUP(A1373,'Undivideable Expenses'!D$104:AG$201,24,0)</f>
        <v>3656.3</v>
      </c>
      <c r="H1373" s="7">
        <f t="shared" si="363"/>
        <v>432.00466781769967</v>
      </c>
    </row>
    <row r="1374" spans="1:8" x14ac:dyDescent="0.25">
      <c r="A1374" s="6">
        <v>45893</v>
      </c>
      <c r="B1374">
        <v>1205</v>
      </c>
      <c r="C1374">
        <f>+VLOOKUP(A1374,'Undivideable Expenses'!$D$104:$AH$201,25,0)</f>
        <v>15682.42</v>
      </c>
      <c r="D1374" s="7">
        <f t="shared" si="362"/>
        <v>7.6837630926859495</v>
      </c>
      <c r="G1374" s="7">
        <f>+VLOOKUP(A1374,'Undivideable Expenses'!D$104:AG$201,24,0)</f>
        <v>3480.49</v>
      </c>
      <c r="H1374" s="7">
        <f t="shared" si="363"/>
        <v>267.43260606462519</v>
      </c>
    </row>
    <row r="1375" spans="1:8" x14ac:dyDescent="0.25">
      <c r="A1375" s="6">
        <v>45894</v>
      </c>
      <c r="B1375">
        <v>861.25</v>
      </c>
      <c r="C1375">
        <f>+VLOOKUP(A1375,'Undivideable Expenses'!$D$104:$AH$201,25,0)</f>
        <v>27073.75</v>
      </c>
      <c r="D1375" s="7">
        <f t="shared" si="362"/>
        <v>3.1811256290687475</v>
      </c>
      <c r="G1375" s="7">
        <f>+VLOOKUP(A1375,'Undivideable Expenses'!D$104:AG$201,24,0)</f>
        <v>4548.1900000000005</v>
      </c>
      <c r="H1375" s="7">
        <f t="shared" si="363"/>
        <v>144.68363774874189</v>
      </c>
    </row>
    <row r="1376" spans="1:8" x14ac:dyDescent="0.25">
      <c r="A1376" s="6">
        <v>45895</v>
      </c>
      <c r="B1376">
        <v>646.25</v>
      </c>
      <c r="C1376">
        <f>+VLOOKUP(A1376,'Undivideable Expenses'!$D$104:$AH$201,25,0)</f>
        <v>25658.75</v>
      </c>
      <c r="D1376" s="7">
        <f t="shared" si="362"/>
        <v>2.5186339942514735</v>
      </c>
      <c r="G1376" s="7">
        <f>+VLOOKUP(A1376,'Undivideable Expenses'!D$104:AG$201,24,0)</f>
        <v>4352.25</v>
      </c>
      <c r="H1376" s="7">
        <f t="shared" si="363"/>
        <v>109.61724801480976</v>
      </c>
    </row>
    <row r="1377" spans="1:8" x14ac:dyDescent="0.25">
      <c r="A1377" s="6">
        <v>45896</v>
      </c>
      <c r="B1377">
        <v>978.75</v>
      </c>
      <c r="C1377">
        <f>+VLOOKUP(A1377,'Undivideable Expenses'!$D$104:$AH$201,25,0)</f>
        <v>25224.38</v>
      </c>
      <c r="D1377" s="7">
        <f t="shared" si="362"/>
        <v>3.8801746564236663</v>
      </c>
      <c r="G1377" s="7">
        <f>+VLOOKUP(A1377,'Undivideable Expenses'!D$104:AG$201,24,0)</f>
        <v>4448.22</v>
      </c>
      <c r="H1377" s="7">
        <f t="shared" si="363"/>
        <v>172.59870510196885</v>
      </c>
    </row>
    <row r="1378" spans="1:8" x14ac:dyDescent="0.25">
      <c r="A1378" s="6">
        <v>45897</v>
      </c>
      <c r="B1378">
        <v>470</v>
      </c>
      <c r="C1378">
        <f>+VLOOKUP(A1378,'Undivideable Expenses'!$D$104:$AH$201,25,0)</f>
        <v>25756.86</v>
      </c>
      <c r="D1378" s="7">
        <f t="shared" si="362"/>
        <v>1.8247565891183939</v>
      </c>
      <c r="G1378" s="7">
        <f>+VLOOKUP(A1378,'Undivideable Expenses'!D$104:AG$201,24,0)</f>
        <v>4630.41</v>
      </c>
      <c r="H1378" s="7">
        <f t="shared" si="363"/>
        <v>84.493711578197022</v>
      </c>
    </row>
    <row r="1379" spans="1:8" x14ac:dyDescent="0.25">
      <c r="A1379" s="6">
        <v>45898</v>
      </c>
      <c r="B1379">
        <v>1342.5</v>
      </c>
      <c r="C1379">
        <f>+VLOOKUP(A1379,'Undivideable Expenses'!$D$104:$AH$201,25,0)</f>
        <v>24982.5</v>
      </c>
      <c r="D1379" s="7">
        <f t="shared" si="362"/>
        <v>5.3737616331432001</v>
      </c>
      <c r="G1379" s="7">
        <f>+VLOOKUP(A1379,'Undivideable Expenses'!D$104:AG$201,24,0)</f>
        <v>4639.16</v>
      </c>
      <c r="H1379" s="7">
        <f t="shared" si="363"/>
        <v>249.29740018012606</v>
      </c>
    </row>
    <row r="1380" spans="1:8" x14ac:dyDescent="0.25">
      <c r="A1380" s="6">
        <v>45899</v>
      </c>
      <c r="B1380">
        <v>610</v>
      </c>
      <c r="C1380">
        <f>+VLOOKUP(A1380,'Undivideable Expenses'!$D$104:$AH$201,25,0)</f>
        <v>20771.919999999998</v>
      </c>
      <c r="D1380" s="7">
        <f t="shared" si="362"/>
        <v>2.9366567943647004</v>
      </c>
      <c r="G1380" s="7">
        <f>+VLOOKUP(A1380,'Undivideable Expenses'!D$104:AG$201,24,0)</f>
        <v>3540.2400000000002</v>
      </c>
      <c r="H1380" s="7">
        <f t="shared" si="363"/>
        <v>103.96469849681687</v>
      </c>
    </row>
    <row r="1381" spans="1:8" x14ac:dyDescent="0.25">
      <c r="A1381" s="6">
        <v>45902</v>
      </c>
      <c r="B1381">
        <v>123.75</v>
      </c>
      <c r="C1381">
        <f>+VLOOKUP(A1381,'Undivideable Expenses'!$D$104:$AH$201,31,0)</f>
        <v>23629.9</v>
      </c>
      <c r="D1381" s="7">
        <f t="shared" si="362"/>
        <v>0.52370090436269301</v>
      </c>
      <c r="G1381" s="7">
        <f>+VLOOKUP(A1381,'Undivideable Expenses'!D$104:AG$201,30,0)</f>
        <v>4535.63</v>
      </c>
      <c r="H1381" s="7">
        <f t="shared" si="363"/>
        <v>23.753135328545614</v>
      </c>
    </row>
    <row r="1382" spans="1:8" x14ac:dyDescent="0.25">
      <c r="A1382" s="6">
        <v>45903</v>
      </c>
      <c r="B1382">
        <v>1361.25</v>
      </c>
      <c r="C1382">
        <f>+VLOOKUP(A1382,'Undivideable Expenses'!$D$104:$AH$201,31,0)</f>
        <v>23717.5</v>
      </c>
      <c r="D1382" s="7">
        <f t="shared" ref="D1382:D1416" si="364">+B1382/C1382*100</f>
        <v>5.7394329081901549</v>
      </c>
      <c r="G1382" s="7">
        <f>+VLOOKUP(A1382,'Undivideable Expenses'!D$104:AG$201,30,0)</f>
        <v>3824.46</v>
      </c>
      <c r="H1382" s="7">
        <f t="shared" ref="H1382:H1416" si="365">+G1382/100*D1382</f>
        <v>219.50231580056919</v>
      </c>
    </row>
    <row r="1383" spans="1:8" x14ac:dyDescent="0.25">
      <c r="A1383" s="6">
        <v>45904</v>
      </c>
      <c r="B1383">
        <v>990</v>
      </c>
      <c r="C1383">
        <f>+VLOOKUP(A1383,'Undivideable Expenses'!$D$104:$AH$201,31,0)</f>
        <v>18022</v>
      </c>
      <c r="D1383" s="7">
        <f t="shared" si="364"/>
        <v>5.4932859837975805</v>
      </c>
      <c r="G1383" s="7">
        <f>+VLOOKUP(A1383,'Undivideable Expenses'!D$104:AG$201,30,0)</f>
        <v>3321.4500000000003</v>
      </c>
      <c r="H1383" s="7">
        <f t="shared" si="365"/>
        <v>182.45674730884474</v>
      </c>
    </row>
    <row r="1384" spans="1:8" x14ac:dyDescent="0.25">
      <c r="A1384" s="6">
        <v>45905</v>
      </c>
      <c r="B1384">
        <v>2272.5</v>
      </c>
      <c r="C1384">
        <f>+VLOOKUP(A1384,'Undivideable Expenses'!$D$104:$AH$201,31,0)</f>
        <v>22442.61</v>
      </c>
      <c r="D1384" s="7">
        <f t="shared" si="364"/>
        <v>10.125827610959687</v>
      </c>
      <c r="G1384" s="7">
        <f>+VLOOKUP(A1384,'Undivideable Expenses'!D$104:AG$201,30,0)</f>
        <v>4314.3</v>
      </c>
      <c r="H1384" s="7">
        <f t="shared" si="365"/>
        <v>436.85858061963381</v>
      </c>
    </row>
    <row r="1385" spans="1:8" x14ac:dyDescent="0.25">
      <c r="A1385" s="6">
        <v>45906</v>
      </c>
      <c r="B1385">
        <v>2917.5</v>
      </c>
      <c r="C1385">
        <f>+VLOOKUP(A1385,'Undivideable Expenses'!$D$104:$AH$201,31,0)</f>
        <v>25357.03</v>
      </c>
      <c r="D1385" s="7">
        <f t="shared" si="364"/>
        <v>11.505685011217796</v>
      </c>
      <c r="G1385" s="7">
        <f>+VLOOKUP(A1385,'Undivideable Expenses'!D$104:AG$201,30,0)</f>
        <v>3841.07</v>
      </c>
      <c r="H1385" s="7">
        <f t="shared" si="365"/>
        <v>441.94141526038339</v>
      </c>
    </row>
    <row r="1386" spans="1:8" x14ac:dyDescent="0.25">
      <c r="A1386" s="6">
        <v>45908</v>
      </c>
      <c r="B1386">
        <v>4346.25</v>
      </c>
      <c r="C1386">
        <f>+VLOOKUP(A1386,'Undivideable Expenses'!$D$104:$AH$201,31,0)</f>
        <v>24431.25</v>
      </c>
      <c r="D1386" s="7">
        <f t="shared" si="364"/>
        <v>17.789716039907905</v>
      </c>
      <c r="G1386" s="7">
        <f>+VLOOKUP(A1386,'Undivideable Expenses'!D$104:AG$201,30,0)</f>
        <v>4129.9399999999996</v>
      </c>
      <c r="H1386" s="7">
        <f t="shared" si="365"/>
        <v>734.7045986185725</v>
      </c>
    </row>
    <row r="1387" spans="1:8" x14ac:dyDescent="0.25">
      <c r="A1387" s="6">
        <v>45909</v>
      </c>
      <c r="B1387">
        <v>5005</v>
      </c>
      <c r="C1387">
        <f>+VLOOKUP(A1387,'Undivideable Expenses'!$D$104:$AH$201,31,0)</f>
        <v>25931.25</v>
      </c>
      <c r="D1387" s="7">
        <f t="shared" si="364"/>
        <v>19.301036394311883</v>
      </c>
      <c r="G1387" s="7">
        <f>+VLOOKUP(A1387,'Undivideable Expenses'!D$104:AG$201,30,0)</f>
        <v>4342.7</v>
      </c>
      <c r="H1387" s="7">
        <f t="shared" si="365"/>
        <v>838.18610749578215</v>
      </c>
    </row>
    <row r="1388" spans="1:8" x14ac:dyDescent="0.25">
      <c r="A1388" s="6">
        <v>45910</v>
      </c>
      <c r="B1388">
        <v>3946.25</v>
      </c>
      <c r="C1388">
        <f>+VLOOKUP(A1388,'Undivideable Expenses'!$D$104:$AH$201,31,0)</f>
        <v>25830.799999999999</v>
      </c>
      <c r="D1388" s="7">
        <f t="shared" si="364"/>
        <v>15.277304613097542</v>
      </c>
      <c r="G1388" s="7">
        <f>+VLOOKUP(A1388,'Undivideable Expenses'!D$104:AG$201,30,0)</f>
        <v>4179.7700000000004</v>
      </c>
      <c r="H1388" s="7">
        <f t="shared" si="365"/>
        <v>638.55619502686716</v>
      </c>
    </row>
    <row r="1389" spans="1:8" x14ac:dyDescent="0.25">
      <c r="A1389" s="6">
        <v>45911</v>
      </c>
      <c r="B1389">
        <v>2653.8251879699246</v>
      </c>
      <c r="C1389">
        <f>+VLOOKUP(A1389,'Undivideable Expenses'!$D$104:$AH$201,31,0)</f>
        <v>26752.45</v>
      </c>
      <c r="D1389" s="7">
        <f t="shared" si="364"/>
        <v>9.9199332695507305</v>
      </c>
      <c r="G1389" s="7">
        <f>+VLOOKUP(A1389,'Undivideable Expenses'!D$104:AG$201,30,0)</f>
        <v>4547.96</v>
      </c>
      <c r="H1389" s="7">
        <f t="shared" si="365"/>
        <v>451.15459712585937</v>
      </c>
    </row>
    <row r="1390" spans="1:8" x14ac:dyDescent="0.25">
      <c r="A1390" s="6">
        <v>45912</v>
      </c>
      <c r="B1390">
        <v>2246.25</v>
      </c>
      <c r="C1390">
        <f>+VLOOKUP(A1390,'Undivideable Expenses'!$D$104:$AH$201,31,0)</f>
        <v>25098.19</v>
      </c>
      <c r="D1390" s="7">
        <f t="shared" si="364"/>
        <v>8.9498485747378602</v>
      </c>
      <c r="G1390" s="7">
        <f>+VLOOKUP(A1390,'Undivideable Expenses'!D$104:AG$201,30,0)</f>
        <v>4596.2699999999995</v>
      </c>
      <c r="H1390" s="7">
        <f t="shared" si="365"/>
        <v>411.35920508610383</v>
      </c>
    </row>
    <row r="1391" spans="1:8" x14ac:dyDescent="0.25">
      <c r="A1391" s="6">
        <v>45913</v>
      </c>
      <c r="B1391">
        <v>1910.6954887218044</v>
      </c>
      <c r="C1391">
        <f>+VLOOKUP(A1391,'Undivideable Expenses'!$D$104:$AH$201,31,0)</f>
        <v>23180.7</v>
      </c>
      <c r="D1391" s="7">
        <f t="shared" si="364"/>
        <v>8.2426134185844457</v>
      </c>
      <c r="G1391" s="7">
        <f>+VLOOKUP(A1391,'Undivideable Expenses'!D$104:AG$201,30,0)</f>
        <v>3633.71</v>
      </c>
      <c r="H1391" s="7">
        <f t="shared" si="365"/>
        <v>299.51266805244484</v>
      </c>
    </row>
    <row r="1392" spans="1:8" x14ac:dyDescent="0.25">
      <c r="A1392" s="6">
        <v>45915</v>
      </c>
      <c r="B1392">
        <v>1870</v>
      </c>
      <c r="C1392">
        <f>+VLOOKUP(A1392,'Undivideable Expenses'!$D$104:$AH$201,31,0)</f>
        <v>26345.4</v>
      </c>
      <c r="D1392" s="7">
        <f t="shared" si="364"/>
        <v>7.098013315417492</v>
      </c>
      <c r="G1392" s="7">
        <f>+VLOOKUP(A1392,'Undivideable Expenses'!D$104:AG$201,30,0)</f>
        <v>4497.5</v>
      </c>
      <c r="H1392" s="7">
        <f t="shared" si="365"/>
        <v>319.23314886090174</v>
      </c>
    </row>
    <row r="1393" spans="1:8" x14ac:dyDescent="0.25">
      <c r="A1393" s="6">
        <v>45916</v>
      </c>
      <c r="B1393">
        <v>1055</v>
      </c>
      <c r="C1393">
        <f>+VLOOKUP(A1393,'Undivideable Expenses'!$D$104:$AH$201,31,0)</f>
        <v>26795</v>
      </c>
      <c r="D1393" s="7">
        <f t="shared" si="364"/>
        <v>3.9373017353983948</v>
      </c>
      <c r="G1393" s="7">
        <f>+VLOOKUP(A1393,'Undivideable Expenses'!D$104:AG$201,30,0)</f>
        <v>4756.51</v>
      </c>
      <c r="H1393" s="7">
        <f t="shared" si="365"/>
        <v>187.2781507743982</v>
      </c>
    </row>
    <row r="1394" spans="1:8" x14ac:dyDescent="0.25">
      <c r="A1394" s="6">
        <v>45917</v>
      </c>
      <c r="B1394">
        <v>2943.75</v>
      </c>
      <c r="C1394">
        <f>+VLOOKUP(A1394,'Undivideable Expenses'!$D$104:$AH$201,31,0)</f>
        <v>23606.31</v>
      </c>
      <c r="D1394" s="7">
        <f t="shared" si="364"/>
        <v>12.470182760456844</v>
      </c>
      <c r="G1394" s="7">
        <f>+VLOOKUP(A1394,'Undivideable Expenses'!D$104:AG$201,30,0)</f>
        <v>4441.4399999999996</v>
      </c>
      <c r="H1394" s="7">
        <f t="shared" si="365"/>
        <v>553.8556851960343</v>
      </c>
    </row>
    <row r="1395" spans="1:8" x14ac:dyDescent="0.25">
      <c r="A1395" s="6">
        <v>45918</v>
      </c>
      <c r="B1395">
        <v>3060</v>
      </c>
      <c r="C1395">
        <f>+VLOOKUP(A1395,'Undivideable Expenses'!$D$104:$AH$201,31,0)</f>
        <v>22551.25</v>
      </c>
      <c r="D1395" s="7">
        <f t="shared" si="364"/>
        <v>13.569092622360179</v>
      </c>
      <c r="G1395" s="7">
        <f>+VLOOKUP(A1395,'Undivideable Expenses'!D$104:AG$201,30,0)</f>
        <v>4633.42</v>
      </c>
      <c r="H1395" s="7">
        <f t="shared" si="365"/>
        <v>628.713051382961</v>
      </c>
    </row>
    <row r="1396" spans="1:8" x14ac:dyDescent="0.25">
      <c r="A1396" s="6">
        <v>45919</v>
      </c>
      <c r="B1396">
        <v>3753.75</v>
      </c>
      <c r="C1396">
        <f>+VLOOKUP(A1396,'Undivideable Expenses'!$D$104:$AH$201,31,0)</f>
        <v>23254.17</v>
      </c>
      <c r="D1396" s="7">
        <f t="shared" si="364"/>
        <v>16.142266096790383</v>
      </c>
      <c r="G1396" s="7">
        <f>+VLOOKUP(A1396,'Undivideable Expenses'!D$104:AG$201,30,0)</f>
        <v>3861.57</v>
      </c>
      <c r="H1396" s="7">
        <f t="shared" si="365"/>
        <v>623.34490491382849</v>
      </c>
    </row>
    <row r="1397" spans="1:8" x14ac:dyDescent="0.25">
      <c r="A1397" s="6">
        <v>45920</v>
      </c>
      <c r="B1397">
        <v>1815.9375</v>
      </c>
      <c r="C1397">
        <f>+VLOOKUP(A1397,'Undivideable Expenses'!$D$104:$AH$201,31,0)</f>
        <v>21410.94</v>
      </c>
      <c r="D1397" s="7">
        <f t="shared" si="364"/>
        <v>8.4813534576249356</v>
      </c>
      <c r="G1397" s="7">
        <f>+VLOOKUP(A1397,'Undivideable Expenses'!D$104:AG$201,30,0)</f>
        <v>4413.95</v>
      </c>
      <c r="H1397" s="7">
        <f t="shared" si="365"/>
        <v>374.36270094283583</v>
      </c>
    </row>
    <row r="1398" spans="1:8" x14ac:dyDescent="0.25">
      <c r="A1398" s="6">
        <v>45921</v>
      </c>
      <c r="B1398">
        <v>565</v>
      </c>
      <c r="C1398">
        <f>+VLOOKUP(A1398,'Undivideable Expenses'!$D$104:$AH$201,31,0)</f>
        <v>17500</v>
      </c>
      <c r="D1398" s="7">
        <f t="shared" si="364"/>
        <v>3.2285714285714286</v>
      </c>
      <c r="G1398" s="7">
        <f>+VLOOKUP(A1398,'Undivideable Expenses'!D$104:AG$201,30,0)</f>
        <v>4082.81</v>
      </c>
      <c r="H1398" s="7">
        <f t="shared" si="365"/>
        <v>131.81643714285715</v>
      </c>
    </row>
    <row r="1399" spans="1:8" x14ac:dyDescent="0.25">
      <c r="A1399" s="6">
        <v>45922</v>
      </c>
      <c r="B1399">
        <v>130</v>
      </c>
      <c r="C1399">
        <f>+VLOOKUP(A1399,'Undivideable Expenses'!$D$104:$AH$201,31,0)</f>
        <v>23698.75</v>
      </c>
      <c r="D1399" s="7">
        <f t="shared" si="364"/>
        <v>0.54855213882588738</v>
      </c>
      <c r="G1399" s="7">
        <f>+VLOOKUP(A1399,'Undivideable Expenses'!D$104:AG$201,30,0)</f>
        <v>4528.6099999999997</v>
      </c>
      <c r="H1399" s="7">
        <f t="shared" si="365"/>
        <v>24.841787014083017</v>
      </c>
    </row>
    <row r="1400" spans="1:8" x14ac:dyDescent="0.25">
      <c r="A1400" s="6">
        <v>45923</v>
      </c>
      <c r="B1400">
        <v>117.5</v>
      </c>
      <c r="C1400">
        <f>+VLOOKUP(A1400,'Undivideable Expenses'!$D$104:$AH$201,31,0)</f>
        <v>24436.93</v>
      </c>
      <c r="D1400" s="7">
        <f t="shared" si="364"/>
        <v>0.48082962958112985</v>
      </c>
      <c r="G1400" s="7">
        <f>+VLOOKUP(A1400,'Undivideable Expenses'!D$104:AG$201,30,0)</f>
        <v>4508.97</v>
      </c>
      <c r="H1400" s="7">
        <f t="shared" si="365"/>
        <v>21.680463748924272</v>
      </c>
    </row>
    <row r="1401" spans="1:8" x14ac:dyDescent="0.25">
      <c r="A1401" s="6">
        <v>45929</v>
      </c>
      <c r="B1401">
        <v>547.5</v>
      </c>
      <c r="C1401">
        <f>+VLOOKUP(A1401,'Undivideable Expenses'!$D$104:$AH$201,31,0)</f>
        <v>23047.47</v>
      </c>
      <c r="D1401" s="7">
        <f t="shared" si="364"/>
        <v>2.3755318913529337</v>
      </c>
      <c r="G1401" s="7">
        <f>+VLOOKUP(A1401,'Undivideable Expenses'!D$104:AG$201,30,0)</f>
        <v>3932.92</v>
      </c>
      <c r="H1401" s="7">
        <f t="shared" si="365"/>
        <v>93.427768861397809</v>
      </c>
    </row>
    <row r="1402" spans="1:8" x14ac:dyDescent="0.25">
      <c r="A1402" s="6">
        <v>45930</v>
      </c>
      <c r="B1402">
        <v>500</v>
      </c>
      <c r="C1402">
        <f>+VLOOKUP(A1402,'Undivideable Expenses'!$D$104:$AH$201,31,0)</f>
        <v>17926.25</v>
      </c>
      <c r="D1402" s="7">
        <f t="shared" si="364"/>
        <v>2.7892057736559517</v>
      </c>
      <c r="G1402" s="7">
        <f>+VLOOKUP(A1402,'Undivideable Expenses'!D$104:AG$201,30,0)</f>
        <v>3020.61</v>
      </c>
      <c r="H1402" s="7">
        <f t="shared" si="365"/>
        <v>84.251028519629045</v>
      </c>
    </row>
    <row r="1403" spans="1:8" x14ac:dyDescent="0.25">
      <c r="A1403" s="6">
        <v>45931</v>
      </c>
      <c r="B1403">
        <v>897.5</v>
      </c>
      <c r="C1403">
        <f>+VLOOKUP(A1403,'Undivideable Expenses'!$D$104:$AH$201,31,0)</f>
        <v>19960</v>
      </c>
      <c r="D1403" s="7">
        <f t="shared" si="364"/>
        <v>4.496492985971944</v>
      </c>
      <c r="G1403" s="7">
        <f>+VLOOKUP(A1403,'Undivideable Expenses'!D$104:AG$201,30,0)</f>
        <v>3837.6094117647058</v>
      </c>
      <c r="H1403" s="7">
        <f t="shared" si="365"/>
        <v>172.55783802899916</v>
      </c>
    </row>
    <row r="1404" spans="1:8" x14ac:dyDescent="0.25">
      <c r="A1404" s="6">
        <v>45932</v>
      </c>
      <c r="B1404">
        <v>2884.3759375937593</v>
      </c>
      <c r="C1404">
        <f>+VLOOKUP(A1404,'Undivideable Expenses'!$D$104:$AH$201,31,0)</f>
        <v>22645.63</v>
      </c>
      <c r="D1404" s="7">
        <f t="shared" si="364"/>
        <v>12.73700902820438</v>
      </c>
      <c r="G1404" s="7">
        <f>+VLOOKUP(A1404,'Undivideable Expenses'!D$104:AG$201,30,0)</f>
        <v>3203.2896078431372</v>
      </c>
      <c r="H1404" s="7">
        <f t="shared" si="365"/>
        <v>408.00328655051305</v>
      </c>
    </row>
    <row r="1405" spans="1:8" x14ac:dyDescent="0.25">
      <c r="A1405" s="6">
        <v>45933</v>
      </c>
      <c r="B1405">
        <v>5545</v>
      </c>
      <c r="C1405">
        <f>+VLOOKUP(A1405,'Undivideable Expenses'!$D$104:$AH$201,31,0)</f>
        <v>18936.25</v>
      </c>
      <c r="D1405" s="7">
        <f t="shared" si="364"/>
        <v>29.282460888507494</v>
      </c>
      <c r="G1405" s="7">
        <f>+VLOOKUP(A1405,'Undivideable Expenses'!D$104:AG$201,30,0)</f>
        <v>3840.6227450980391</v>
      </c>
      <c r="H1405" s="7">
        <f t="shared" si="365"/>
        <v>1124.6288532084561</v>
      </c>
    </row>
    <row r="1406" spans="1:8" x14ac:dyDescent="0.25">
      <c r="A1406" s="6">
        <v>45934</v>
      </c>
      <c r="B1406">
        <v>3744.3810952738186</v>
      </c>
      <c r="C1406">
        <f>+VLOOKUP(A1406,'Undivideable Expenses'!$D$104:$AH$201,31,0)</f>
        <v>21914.38</v>
      </c>
      <c r="D1406" s="7">
        <f t="shared" si="364"/>
        <v>17.086411275490423</v>
      </c>
      <c r="G1406" s="7">
        <f>+VLOOKUP(A1406,'Undivideable Expenses'!D$104:AG$201,30,0)</f>
        <v>3754.773333333334</v>
      </c>
      <c r="H1406" s="7">
        <f t="shared" si="365"/>
        <v>641.55601419577442</v>
      </c>
    </row>
    <row r="1407" spans="1:8" x14ac:dyDescent="0.25">
      <c r="A1407" s="6">
        <v>45935</v>
      </c>
      <c r="B1407">
        <v>1783.5636856368565</v>
      </c>
      <c r="C1407">
        <f>+VLOOKUP(A1407,'Undivideable Expenses'!$D$104:$AH$201,31,0)</f>
        <v>16911.900000000001</v>
      </c>
      <c r="D1407" s="7">
        <f t="shared" si="364"/>
        <v>10.546205249775936</v>
      </c>
      <c r="G1407" s="7">
        <f>+VLOOKUP(A1407,'Undivideable Expenses'!D$104:AG$201,30,0)</f>
        <v>2248.4699999999998</v>
      </c>
      <c r="H1407" s="7">
        <f t="shared" si="365"/>
        <v>237.12826117963695</v>
      </c>
    </row>
    <row r="1408" spans="1:8" x14ac:dyDescent="0.25">
      <c r="A1408" s="6">
        <v>45936</v>
      </c>
      <c r="B1408">
        <v>1483.75</v>
      </c>
      <c r="C1408">
        <f>+VLOOKUP(A1408,'Undivideable Expenses'!$D$104:$AH$201,31,0)</f>
        <v>17012.5</v>
      </c>
      <c r="D1408" s="7">
        <f t="shared" si="364"/>
        <v>8.7215282880235119</v>
      </c>
      <c r="G1408" s="7">
        <f>+VLOOKUP(A1408,'Undivideable Expenses'!D$104:AG$201,30,0)</f>
        <v>2950.3319607843141</v>
      </c>
      <c r="H1408" s="7">
        <f t="shared" si="365"/>
        <v>257.3140365504027</v>
      </c>
    </row>
    <row r="1409" spans="1:8" x14ac:dyDescent="0.25">
      <c r="A1409" s="6">
        <v>45937</v>
      </c>
      <c r="B1409">
        <v>2478.75</v>
      </c>
      <c r="C1409">
        <f>+VLOOKUP(A1409,'Undivideable Expenses'!$D$104:$AH$201,31,0)</f>
        <v>21800</v>
      </c>
      <c r="D1409" s="7">
        <f t="shared" si="364"/>
        <v>11.370412844036696</v>
      </c>
      <c r="G1409" s="7">
        <f>+VLOOKUP(A1409,'Undivideable Expenses'!D$104:AG$201,30,0)</f>
        <v>3333.5290196078427</v>
      </c>
      <c r="H1409" s="7">
        <f t="shared" si="365"/>
        <v>379.03601180518069</v>
      </c>
    </row>
    <row r="1410" spans="1:8" x14ac:dyDescent="0.25">
      <c r="A1410" s="6">
        <v>45938</v>
      </c>
      <c r="B1410">
        <v>750</v>
      </c>
      <c r="C1410">
        <f>+VLOOKUP(A1410,'Undivideable Expenses'!$D$104:$AH$201,31,0)</f>
        <v>22083.14</v>
      </c>
      <c r="D1410" s="7">
        <f t="shared" si="364"/>
        <v>3.3962561483557141</v>
      </c>
      <c r="G1410" s="7">
        <f>+VLOOKUP(A1410,'Undivideable Expenses'!D$104:AG$201,30,0)</f>
        <v>3614.8539215686278</v>
      </c>
      <c r="H1410" s="7">
        <f t="shared" si="365"/>
        <v>122.76969856535216</v>
      </c>
    </row>
    <row r="1411" spans="1:8" x14ac:dyDescent="0.25">
      <c r="A1411" s="6">
        <v>45941</v>
      </c>
      <c r="B1411">
        <v>1190</v>
      </c>
      <c r="C1411">
        <f>+VLOOKUP(A1411,'Undivideable Expenses'!$D$104:$AH$201,31,0)</f>
        <v>19220</v>
      </c>
      <c r="D1411" s="7">
        <f t="shared" si="364"/>
        <v>6.1914672216441211</v>
      </c>
      <c r="G1411" s="7">
        <f>+VLOOKUP(A1411,'Undivideable Expenses'!D$104:AG$201,30,0)</f>
        <v>3711.4678431372545</v>
      </c>
      <c r="H1411" s="7">
        <f t="shared" si="365"/>
        <v>229.79431494970515</v>
      </c>
    </row>
    <row r="1412" spans="1:8" x14ac:dyDescent="0.25">
      <c r="A1412" s="6">
        <v>45943</v>
      </c>
      <c r="B1412">
        <v>2832.5</v>
      </c>
      <c r="C1412">
        <f>+VLOOKUP(A1412,'Undivideable Expenses'!$D$104:$AH$201,31,0)</f>
        <v>16090</v>
      </c>
      <c r="D1412" s="7">
        <f t="shared" si="364"/>
        <v>17.604101926662523</v>
      </c>
      <c r="G1412" s="7">
        <f>+VLOOKUP(A1412,'Undivideable Expenses'!D$104:AG$201,30,0)</f>
        <v>4156.0586274509806</v>
      </c>
      <c r="H1412" s="7">
        <f t="shared" si="365"/>
        <v>731.63679690832203</v>
      </c>
    </row>
    <row r="1413" spans="1:8" x14ac:dyDescent="0.25">
      <c r="A1413" s="6">
        <v>45944</v>
      </c>
      <c r="B1413">
        <v>6963.75</v>
      </c>
      <c r="C1413">
        <f>+VLOOKUP(A1413,'Undivideable Expenses'!$D$104:$AH$201,31,0)</f>
        <v>15526.25</v>
      </c>
      <c r="D1413" s="7">
        <f t="shared" si="364"/>
        <v>44.851461235005239</v>
      </c>
      <c r="G1413" s="7">
        <f>+VLOOKUP(A1413,'Undivideable Expenses'!D$104:AG$201,30,0)</f>
        <v>3114.9388235294118</v>
      </c>
      <c r="H1413" s="7">
        <f t="shared" si="365"/>
        <v>1397.0955789294223</v>
      </c>
    </row>
    <row r="1414" spans="1:8" x14ac:dyDescent="0.25">
      <c r="A1414" s="6">
        <v>45945</v>
      </c>
      <c r="B1414">
        <v>4363.75</v>
      </c>
      <c r="C1414">
        <f>+VLOOKUP(A1414,'Undivideable Expenses'!$D$104:$AH$201,31,0)</f>
        <v>15747.5</v>
      </c>
      <c r="D1414" s="7">
        <f t="shared" si="364"/>
        <v>27.710747737736146</v>
      </c>
      <c r="G1414" s="7">
        <f>+VLOOKUP(A1414,'Undivideable Expenses'!D$104:AG$201,30,0)</f>
        <v>3951.51431372549</v>
      </c>
      <c r="H1414" s="7">
        <f t="shared" si="365"/>
        <v>1094.9941632970063</v>
      </c>
    </row>
    <row r="1415" spans="1:8" x14ac:dyDescent="0.25">
      <c r="A1415" s="6">
        <v>45946</v>
      </c>
      <c r="B1415">
        <v>2036.25</v>
      </c>
      <c r="C1415">
        <f>+VLOOKUP(A1415,'Undivideable Expenses'!$D$104:$AH$201,31,0)</f>
        <v>15233.76</v>
      </c>
      <c r="D1415" s="7">
        <f t="shared" si="364"/>
        <v>13.366693449286322</v>
      </c>
      <c r="G1415" s="7">
        <f>+VLOOKUP(A1415,'Undivideable Expenses'!D$104:AG$201,30,0)</f>
        <v>3988.4435294117652</v>
      </c>
      <c r="H1415" s="7">
        <f t="shared" si="365"/>
        <v>533.12301997436657</v>
      </c>
    </row>
    <row r="1416" spans="1:8" x14ac:dyDescent="0.25">
      <c r="A1416" s="6">
        <v>45948</v>
      </c>
      <c r="B1416">
        <v>418.75</v>
      </c>
      <c r="C1416">
        <f>+VLOOKUP(A1416,'Undivideable Expenses'!$D$104:$AH$201,31,0)</f>
        <v>14001.88</v>
      </c>
      <c r="D1416" s="7">
        <f t="shared" si="364"/>
        <v>2.9906698243378749</v>
      </c>
      <c r="G1416" s="7">
        <f>+VLOOKUP(A1416,'Undivideable Expenses'!D$104:AG$201,30,0)</f>
        <v>3462.9003921568628</v>
      </c>
      <c r="H1416" s="7">
        <f t="shared" si="365"/>
        <v>103.56391707511322</v>
      </c>
    </row>
    <row r="1418" spans="1:8" x14ac:dyDescent="0.25">
      <c r="A1418" t="s">
        <v>262</v>
      </c>
    </row>
    <row r="1419" spans="1:8" x14ac:dyDescent="0.25">
      <c r="A1419" s="8" t="s">
        <v>6</v>
      </c>
      <c r="B1419" s="8" t="s">
        <v>261</v>
      </c>
      <c r="C1419" s="22" t="s">
        <v>50</v>
      </c>
      <c r="D1419" s="22" t="s">
        <v>9</v>
      </c>
    </row>
    <row r="1420" spans="1:8" x14ac:dyDescent="0.25">
      <c r="A1420" s="6">
        <v>45882</v>
      </c>
      <c r="B1420">
        <v>283.75</v>
      </c>
      <c r="C1420">
        <f>+VLOOKUP(A1420,'Undivideable Expenses'!$D$104:$AH$201,25,0)</f>
        <v>26184.17</v>
      </c>
      <c r="D1420" s="7">
        <f t="shared" ref="D1420" si="366">+B1420/C1420*100</f>
        <v>1.083670018946562</v>
      </c>
      <c r="G1420" s="7">
        <f>+VLOOKUP(A1420,'Undivideable Expenses'!D$104:AG$201,24,0)</f>
        <v>3957.21</v>
      </c>
      <c r="H1420" s="7">
        <f t="shared" ref="H1420" si="367">+G1420/100*D1420</f>
        <v>42.883098356755248</v>
      </c>
    </row>
    <row r="1421" spans="1:8" x14ac:dyDescent="0.25">
      <c r="A1421" s="6">
        <v>45883</v>
      </c>
      <c r="B1421">
        <v>2217.5</v>
      </c>
      <c r="C1421">
        <f>+VLOOKUP(A1421,'Undivideable Expenses'!$D$104:$AH$201,25,0)</f>
        <v>26731.25</v>
      </c>
      <c r="D1421" s="7">
        <f t="shared" ref="D1421:D1432" si="368">+B1421/C1421*100</f>
        <v>8.2955342529810618</v>
      </c>
      <c r="G1421" s="7">
        <f>+VLOOKUP(A1421,'Undivideable Expenses'!D$104:AG$201,24,0)</f>
        <v>4330.0099999999993</v>
      </c>
      <c r="H1421" s="7">
        <f t="shared" ref="H1421:H1432" si="369">+G1421/100*D1421</f>
        <v>359.19746270750522</v>
      </c>
    </row>
    <row r="1422" spans="1:8" x14ac:dyDescent="0.25">
      <c r="A1422" s="6">
        <v>45884</v>
      </c>
      <c r="B1422">
        <v>1830</v>
      </c>
      <c r="C1422">
        <f>+VLOOKUP(A1422,'Undivideable Expenses'!$D$104:$AH$201,25,0)</f>
        <v>20656</v>
      </c>
      <c r="D1422" s="7">
        <f t="shared" si="368"/>
        <v>8.8594113090627431</v>
      </c>
      <c r="G1422" s="7">
        <f>+VLOOKUP(A1422,'Undivideable Expenses'!D$104:AG$201,24,0)</f>
        <v>3357.6000000000004</v>
      </c>
      <c r="H1422" s="7">
        <f t="shared" si="369"/>
        <v>297.46359411309066</v>
      </c>
    </row>
    <row r="1423" spans="1:8" x14ac:dyDescent="0.25">
      <c r="A1423" s="6">
        <v>45885</v>
      </c>
      <c r="B1423">
        <v>2071.25</v>
      </c>
      <c r="C1423">
        <f>+VLOOKUP(A1423,'Undivideable Expenses'!$D$104:$AH$201,25,0)</f>
        <v>21450</v>
      </c>
      <c r="D1423" s="7">
        <f t="shared" si="368"/>
        <v>9.6561771561771561</v>
      </c>
      <c r="G1423" s="7">
        <f>+VLOOKUP(A1423,'Undivideable Expenses'!D$104:AG$201,24,0)</f>
        <v>4085.5499999999997</v>
      </c>
      <c r="H1423" s="7">
        <f t="shared" si="369"/>
        <v>394.5079458041958</v>
      </c>
    </row>
    <row r="1424" spans="1:8" x14ac:dyDescent="0.25">
      <c r="A1424" s="6">
        <v>45887</v>
      </c>
      <c r="B1424">
        <v>3131.25</v>
      </c>
      <c r="C1424">
        <f>+VLOOKUP(A1424,'Undivideable Expenses'!$D$104:$AH$201,25,0)</f>
        <v>25291.56</v>
      </c>
      <c r="D1424" s="7">
        <f t="shared" si="368"/>
        <v>12.380612346569368</v>
      </c>
      <c r="G1424" s="7">
        <f>+VLOOKUP(A1424,'Undivideable Expenses'!D$104:AG$201,24,0)</f>
        <v>4024.5600000000004</v>
      </c>
      <c r="H1424" s="7">
        <f t="shared" si="369"/>
        <v>498.26517225509218</v>
      </c>
    </row>
    <row r="1425" spans="1:8" x14ac:dyDescent="0.25">
      <c r="A1425" s="6">
        <v>45888</v>
      </c>
      <c r="B1425">
        <v>4190</v>
      </c>
      <c r="C1425">
        <f>+VLOOKUP(A1425,'Undivideable Expenses'!$D$104:$AH$201,25,0)</f>
        <v>26357.5</v>
      </c>
      <c r="D1425" s="7">
        <f t="shared" si="368"/>
        <v>15.896803566347339</v>
      </c>
      <c r="G1425" s="7">
        <f>+VLOOKUP(A1425,'Undivideable Expenses'!D$104:AG$201,24,0)</f>
        <v>4637.76</v>
      </c>
      <c r="H1425" s="7">
        <f t="shared" si="369"/>
        <v>737.25559707863033</v>
      </c>
    </row>
    <row r="1426" spans="1:8" x14ac:dyDescent="0.25">
      <c r="A1426" s="6">
        <v>45889</v>
      </c>
      <c r="B1426">
        <v>3002.5</v>
      </c>
      <c r="C1426">
        <f>+VLOOKUP(A1426,'Undivideable Expenses'!$D$104:$AH$201,25,0)</f>
        <v>24320.63</v>
      </c>
      <c r="D1426" s="7">
        <f t="shared" si="368"/>
        <v>12.345486116108011</v>
      </c>
      <c r="G1426" s="7">
        <f>+VLOOKUP(A1426,'Undivideable Expenses'!D$104:AG$201,24,0)</f>
        <v>4339.57</v>
      </c>
      <c r="H1426" s="7">
        <f t="shared" si="369"/>
        <v>535.74101184878839</v>
      </c>
    </row>
    <row r="1427" spans="1:8" x14ac:dyDescent="0.25">
      <c r="A1427" s="6">
        <v>45890</v>
      </c>
      <c r="B1427">
        <v>1282.5</v>
      </c>
      <c r="C1427">
        <f>+VLOOKUP(A1427,'Undivideable Expenses'!$D$104:$AH$201,25,0)</f>
        <v>19860</v>
      </c>
      <c r="D1427" s="7">
        <f t="shared" si="368"/>
        <v>6.4577039274924477</v>
      </c>
      <c r="G1427" s="7">
        <f>+VLOOKUP(A1427,'Undivideable Expenses'!D$104:AG$201,24,0)</f>
        <v>3383.0199999999995</v>
      </c>
      <c r="H1427" s="7">
        <f t="shared" si="369"/>
        <v>218.46541540785498</v>
      </c>
    </row>
    <row r="1428" spans="1:8" x14ac:dyDescent="0.25">
      <c r="A1428" s="6">
        <v>45891</v>
      </c>
      <c r="B1428">
        <v>170</v>
      </c>
      <c r="C1428">
        <f>+VLOOKUP(A1428,'Undivideable Expenses'!$D$104:$AH$201,25,0)</f>
        <v>20840</v>
      </c>
      <c r="D1428" s="7">
        <f t="shared" si="368"/>
        <v>0.81573896353166975</v>
      </c>
      <c r="G1428" s="7">
        <f>+VLOOKUP(A1428,'Undivideable Expenses'!D$104:AG$201,24,0)</f>
        <v>3028.45</v>
      </c>
      <c r="H1428" s="7">
        <f t="shared" si="369"/>
        <v>24.70424664107485</v>
      </c>
    </row>
    <row r="1429" spans="1:8" x14ac:dyDescent="0.25">
      <c r="A1429" s="6">
        <v>45892</v>
      </c>
      <c r="B1429">
        <v>775</v>
      </c>
      <c r="C1429">
        <f>+VLOOKUP(A1429,'Undivideable Expenses'!$D$104:$AH$201,25,0)</f>
        <v>19889.38</v>
      </c>
      <c r="D1429" s="7">
        <f t="shared" si="368"/>
        <v>3.8965518281615616</v>
      </c>
      <c r="G1429" s="7">
        <f>+VLOOKUP(A1429,'Undivideable Expenses'!D$104:AG$201,24,0)</f>
        <v>3656.3</v>
      </c>
      <c r="H1429" s="7">
        <f t="shared" si="369"/>
        <v>142.46962449307119</v>
      </c>
    </row>
    <row r="1430" spans="1:8" x14ac:dyDescent="0.25">
      <c r="A1430" s="6">
        <v>45894</v>
      </c>
      <c r="B1430">
        <v>240</v>
      </c>
      <c r="C1430">
        <f>+VLOOKUP(A1430,'Undivideable Expenses'!$D$104:$AH$201,25,0)</f>
        <v>27073.75</v>
      </c>
      <c r="D1430" s="7">
        <f t="shared" si="368"/>
        <v>0.8864675192760515</v>
      </c>
      <c r="G1430" s="7">
        <f>+VLOOKUP(A1430,'Undivideable Expenses'!D$104:AG$201,24,0)</f>
        <v>4548.1900000000005</v>
      </c>
      <c r="H1430" s="7">
        <f t="shared" si="369"/>
        <v>40.318227064961448</v>
      </c>
    </row>
    <row r="1431" spans="1:8" x14ac:dyDescent="0.25">
      <c r="A1431" s="6">
        <v>45895</v>
      </c>
      <c r="B1431">
        <v>50</v>
      </c>
      <c r="C1431">
        <f>+VLOOKUP(A1431,'Undivideable Expenses'!$D$104:$AH$201,25,0)</f>
        <v>25658.75</v>
      </c>
      <c r="D1431" s="7">
        <f t="shared" si="368"/>
        <v>0.19486529936181615</v>
      </c>
      <c r="G1431" s="7">
        <f>+VLOOKUP(A1431,'Undivideable Expenses'!D$104:AG$201,24,0)</f>
        <v>4352.25</v>
      </c>
      <c r="H1431" s="7">
        <f t="shared" si="369"/>
        <v>8.4810249914746443</v>
      </c>
    </row>
    <row r="1432" spans="1:8" x14ac:dyDescent="0.25">
      <c r="A1432" s="6">
        <v>45945</v>
      </c>
      <c r="B1432">
        <v>272.5</v>
      </c>
      <c r="C1432">
        <f>+VLOOKUP(A1432,'Undivideable Expenses'!$D$104:$AH$201,31,0)</f>
        <v>15747.5</v>
      </c>
      <c r="D1432" s="7">
        <f t="shared" si="368"/>
        <v>1.7304334021273218</v>
      </c>
      <c r="G1432" s="7">
        <f>+VLOOKUP(A1432,'Undivideable Expenses'!D$104:AG$201,30,0)</f>
        <v>3951.51431372549</v>
      </c>
      <c r="H1432" s="7">
        <f t="shared" si="369"/>
        <v>68.378323574548091</v>
      </c>
    </row>
    <row r="1433" spans="1:8" x14ac:dyDescent="0.25">
      <c r="A1433" s="6">
        <v>45946</v>
      </c>
      <c r="B1433">
        <v>65</v>
      </c>
      <c r="C1433">
        <f>+VLOOKUP(A1433,'Undivideable Expenses'!$D$104:$AH$201,31,0)</f>
        <v>15233.76</v>
      </c>
      <c r="D1433" s="7">
        <f t="shared" ref="D1433" si="370">+B1433/C1433*100</f>
        <v>0.42668389156715086</v>
      </c>
      <c r="G1433" s="7">
        <f>+VLOOKUP(A1433,'Undivideable Expenses'!D$104:AG$201,30,0)</f>
        <v>3988.4435294117652</v>
      </c>
      <c r="H1433" s="7">
        <f t="shared" ref="H1433" si="371">+G1433/100*D1433</f>
        <v>17.018046064252342</v>
      </c>
    </row>
    <row r="1435" spans="1:8" x14ac:dyDescent="0.25">
      <c r="A1435" t="s">
        <v>264</v>
      </c>
    </row>
    <row r="1436" spans="1:8" x14ac:dyDescent="0.25">
      <c r="A1436" s="8" t="s">
        <v>6</v>
      </c>
      <c r="B1436" s="8" t="s">
        <v>263</v>
      </c>
      <c r="C1436" s="22" t="s">
        <v>50</v>
      </c>
      <c r="D1436" s="22" t="s">
        <v>9</v>
      </c>
    </row>
    <row r="1437" spans="1:8" x14ac:dyDescent="0.25">
      <c r="A1437" s="6">
        <v>45885</v>
      </c>
      <c r="B1437">
        <v>575</v>
      </c>
      <c r="C1437">
        <f>+VLOOKUP(A1437,'Undivideable Expenses'!$D$104:$AH$201,25,0)</f>
        <v>21450</v>
      </c>
      <c r="D1437" s="7">
        <f t="shared" ref="D1437" si="372">+B1437/C1437*100</f>
        <v>2.6806526806526807</v>
      </c>
      <c r="G1437" s="7">
        <f>+VLOOKUP(A1437,'Undivideable Expenses'!D$104:AG$201,24,0)</f>
        <v>4085.5499999999997</v>
      </c>
      <c r="H1437" s="7">
        <f t="shared" ref="H1437" si="373">+G1437/100*D1437</f>
        <v>109.5194055944056</v>
      </c>
    </row>
    <row r="1438" spans="1:8" x14ac:dyDescent="0.25">
      <c r="A1438" s="6">
        <v>45887</v>
      </c>
      <c r="B1438">
        <v>2663.75</v>
      </c>
      <c r="C1438">
        <f>+VLOOKUP(A1438,'Undivideable Expenses'!$D$104:$AH$201,25,0)</f>
        <v>25291.56</v>
      </c>
      <c r="D1438" s="7">
        <f t="shared" ref="D1438:D1444" si="374">+B1438/C1438*100</f>
        <v>10.532169624965798</v>
      </c>
      <c r="G1438" s="7">
        <f>+VLOOKUP(A1438,'Undivideable Expenses'!D$104:AG$201,24,0)</f>
        <v>4024.5600000000004</v>
      </c>
      <c r="H1438" s="7">
        <f t="shared" ref="H1438:H1444" si="375">+G1438/100*D1438</f>
        <v>423.87348585852357</v>
      </c>
    </row>
    <row r="1439" spans="1:8" x14ac:dyDescent="0.25">
      <c r="A1439" s="6">
        <v>45888</v>
      </c>
      <c r="B1439">
        <v>6818.75</v>
      </c>
      <c r="C1439">
        <f>+VLOOKUP(A1439,'Undivideable Expenses'!$D$104:$AH$201,25,0)</f>
        <v>26357.5</v>
      </c>
      <c r="D1439" s="7">
        <f t="shared" si="374"/>
        <v>25.870245660627905</v>
      </c>
      <c r="G1439" s="7">
        <f>+VLOOKUP(A1439,'Undivideable Expenses'!D$104:AG$201,24,0)</f>
        <v>4637.76</v>
      </c>
      <c r="H1439" s="7">
        <f t="shared" si="375"/>
        <v>1199.7999051503368</v>
      </c>
    </row>
    <row r="1440" spans="1:8" x14ac:dyDescent="0.25">
      <c r="A1440" s="6">
        <v>45889</v>
      </c>
      <c r="B1440">
        <v>7567.5</v>
      </c>
      <c r="C1440">
        <f>+VLOOKUP(A1440,'Undivideable Expenses'!$D$104:$AH$201,25,0)</f>
        <v>24320.63</v>
      </c>
      <c r="D1440" s="7">
        <f t="shared" si="374"/>
        <v>31.115559095303041</v>
      </c>
      <c r="G1440" s="7">
        <f>+VLOOKUP(A1440,'Undivideable Expenses'!D$104:AG$201,24,0)</f>
        <v>4339.57</v>
      </c>
      <c r="H1440" s="7">
        <f t="shared" si="375"/>
        <v>1350.2814678320422</v>
      </c>
    </row>
    <row r="1441" spans="1:8" x14ac:dyDescent="0.25">
      <c r="A1441" s="6">
        <v>45890</v>
      </c>
      <c r="B1441">
        <v>6176.25</v>
      </c>
      <c r="C1441">
        <f>+VLOOKUP(A1441,'Undivideable Expenses'!$D$104:$AH$201,25,0)</f>
        <v>19860</v>
      </c>
      <c r="D1441" s="7">
        <f t="shared" si="374"/>
        <v>31.098942598187314</v>
      </c>
      <c r="G1441" s="7">
        <f>+VLOOKUP(A1441,'Undivideable Expenses'!D$104:AG$201,24,0)</f>
        <v>3383.0199999999995</v>
      </c>
      <c r="H1441" s="7">
        <f t="shared" si="375"/>
        <v>1052.0834478851964</v>
      </c>
    </row>
    <row r="1442" spans="1:8" x14ac:dyDescent="0.25">
      <c r="A1442" s="6">
        <v>45891</v>
      </c>
      <c r="B1442">
        <v>2108.75</v>
      </c>
      <c r="C1442">
        <f>+VLOOKUP(A1442,'Undivideable Expenses'!$D$104:$AH$201,25,0)</f>
        <v>20840</v>
      </c>
      <c r="D1442" s="7">
        <f t="shared" si="374"/>
        <v>10.118761996161227</v>
      </c>
      <c r="G1442" s="7">
        <f>+VLOOKUP(A1442,'Undivideable Expenses'!D$104:AG$201,24,0)</f>
        <v>3028.45</v>
      </c>
      <c r="H1442" s="7">
        <f t="shared" si="375"/>
        <v>306.44164767274469</v>
      </c>
    </row>
    <row r="1443" spans="1:8" x14ac:dyDescent="0.25">
      <c r="A1443" s="6">
        <v>45892</v>
      </c>
      <c r="B1443">
        <v>57.5</v>
      </c>
      <c r="C1443">
        <f>+VLOOKUP(A1443,'Undivideable Expenses'!$D$104:$AH$201,25,0)</f>
        <v>19889.38</v>
      </c>
      <c r="D1443" s="7">
        <f t="shared" si="374"/>
        <v>0.28909900660553522</v>
      </c>
      <c r="G1443" s="7">
        <f>+VLOOKUP(A1443,'Undivideable Expenses'!D$104:AG$201,24,0)</f>
        <v>3656.3</v>
      </c>
      <c r="H1443" s="7">
        <f t="shared" si="375"/>
        <v>10.570326978518185</v>
      </c>
    </row>
    <row r="1444" spans="1:8" x14ac:dyDescent="0.25">
      <c r="A1444" s="6">
        <v>45910</v>
      </c>
      <c r="B1444">
        <v>117.5</v>
      </c>
      <c r="C1444">
        <f>+VLOOKUP(A1444,'Undivideable Expenses'!$D$104:$AH$201,31,0)</f>
        <v>25830.799999999999</v>
      </c>
      <c r="D1444" s="7">
        <f t="shared" si="374"/>
        <v>0.45488331758985401</v>
      </c>
      <c r="G1444" s="7">
        <f>+VLOOKUP(A1444,'Undivideable Expenses'!D$104:AG$201,30,0)</f>
        <v>4179.7700000000004</v>
      </c>
      <c r="H1444" s="7">
        <f t="shared" si="375"/>
        <v>19.013076443625444</v>
      </c>
    </row>
    <row r="1445" spans="1:8" x14ac:dyDescent="0.25">
      <c r="A1445" s="6">
        <v>45923</v>
      </c>
      <c r="B1445">
        <v>1557.5</v>
      </c>
      <c r="C1445">
        <f>+VLOOKUP(A1445,'Undivideable Expenses'!$D$104:$AH$201,31,0)</f>
        <v>24436.93</v>
      </c>
      <c r="D1445" s="7">
        <f t="shared" ref="D1445:D1454" si="376">+B1445/C1445*100</f>
        <v>6.3735501963626362</v>
      </c>
      <c r="G1445" s="7">
        <f>+VLOOKUP(A1445,'Undivideable Expenses'!D$104:AG$201,30,0)</f>
        <v>4508.97</v>
      </c>
      <c r="H1445" s="7">
        <f t="shared" ref="H1445:H1454" si="377">+G1445/100*D1445</f>
        <v>287.38146628893236</v>
      </c>
    </row>
    <row r="1446" spans="1:8" x14ac:dyDescent="0.25">
      <c r="A1446" s="6">
        <v>45924</v>
      </c>
      <c r="B1446">
        <v>2207.5</v>
      </c>
      <c r="C1446">
        <f>+VLOOKUP(A1446,'Undivideable Expenses'!$D$104:$AH$201,31,0)</f>
        <v>24463.5</v>
      </c>
      <c r="D1446" s="7">
        <f t="shared" si="376"/>
        <v>9.02364747480941</v>
      </c>
      <c r="G1446" s="7">
        <f>+VLOOKUP(A1446,'Undivideable Expenses'!D$104:AG$201,30,0)</f>
        <v>3936.63</v>
      </c>
      <c r="H1446" s="7">
        <f t="shared" si="377"/>
        <v>355.2276135875897</v>
      </c>
    </row>
    <row r="1447" spans="1:8" x14ac:dyDescent="0.25">
      <c r="A1447" s="6">
        <v>45925</v>
      </c>
      <c r="B1447">
        <v>2003.75</v>
      </c>
      <c r="C1447">
        <f>+VLOOKUP(A1447,'Undivideable Expenses'!$D$104:$AH$201,31,0)</f>
        <v>24938.75</v>
      </c>
      <c r="D1447" s="7">
        <f t="shared" si="376"/>
        <v>8.0346849781965801</v>
      </c>
      <c r="G1447" s="7">
        <f>+VLOOKUP(A1447,'Undivideable Expenses'!D$104:AG$201,30,0)</f>
        <v>3941.13</v>
      </c>
      <c r="H1447" s="7">
        <f t="shared" si="377"/>
        <v>316.65738008119894</v>
      </c>
    </row>
    <row r="1448" spans="1:8" x14ac:dyDescent="0.25">
      <c r="A1448" s="6">
        <v>45926</v>
      </c>
      <c r="B1448">
        <v>6596.9360902255639</v>
      </c>
      <c r="C1448">
        <f>+VLOOKUP(A1448,'Undivideable Expenses'!$D$104:$AH$201,31,0)</f>
        <v>24910.49</v>
      </c>
      <c r="D1448" s="7">
        <f t="shared" si="376"/>
        <v>26.482562527776704</v>
      </c>
      <c r="G1448" s="7">
        <f>+VLOOKUP(A1448,'Undivideable Expenses'!D$104:AG$201,30,0)</f>
        <v>3930.78</v>
      </c>
      <c r="H1448" s="7">
        <f t="shared" si="377"/>
        <v>1040.9712713293411</v>
      </c>
    </row>
    <row r="1449" spans="1:8" x14ac:dyDescent="0.25">
      <c r="A1449" s="6">
        <v>45927</v>
      </c>
      <c r="B1449">
        <v>6715</v>
      </c>
      <c r="C1449">
        <f>+VLOOKUP(A1449,'Undivideable Expenses'!$D$104:$AH$201,31,0)</f>
        <v>20695.939999999999</v>
      </c>
      <c r="D1449" s="7">
        <f t="shared" si="376"/>
        <v>32.445977326953987</v>
      </c>
      <c r="G1449" s="7">
        <f>+VLOOKUP(A1449,'Undivideable Expenses'!D$104:AG$201,30,0)</f>
        <v>3031.71</v>
      </c>
      <c r="H1449" s="7">
        <f t="shared" si="377"/>
        <v>983.66793921899671</v>
      </c>
    </row>
    <row r="1450" spans="1:8" x14ac:dyDescent="0.25">
      <c r="A1450" s="6">
        <v>45929</v>
      </c>
      <c r="B1450">
        <v>6946.875</v>
      </c>
      <c r="C1450">
        <f>+VLOOKUP(A1450,'Undivideable Expenses'!$D$104:$AH$201,31,0)</f>
        <v>23047.47</v>
      </c>
      <c r="D1450" s="7">
        <f t="shared" si="376"/>
        <v>30.141594717337739</v>
      </c>
      <c r="G1450" s="7">
        <f>+VLOOKUP(A1450,'Undivideable Expenses'!D$104:AG$201,30,0)</f>
        <v>3932.92</v>
      </c>
      <c r="H1450" s="7">
        <f t="shared" si="377"/>
        <v>1185.4448069571195</v>
      </c>
    </row>
    <row r="1451" spans="1:8" x14ac:dyDescent="0.25">
      <c r="A1451" s="6">
        <v>45930</v>
      </c>
      <c r="B1451">
        <v>3228.75</v>
      </c>
      <c r="C1451">
        <f>+VLOOKUP(A1451,'Undivideable Expenses'!$D$104:$AH$201,31,0)</f>
        <v>17926.25</v>
      </c>
      <c r="D1451" s="7">
        <f t="shared" si="376"/>
        <v>18.011296283383306</v>
      </c>
      <c r="G1451" s="7">
        <f>+VLOOKUP(A1451,'Undivideable Expenses'!D$104:AG$201,30,0)</f>
        <v>3020.61</v>
      </c>
      <c r="H1451" s="7">
        <f t="shared" si="377"/>
        <v>544.05101666550456</v>
      </c>
    </row>
    <row r="1452" spans="1:8" x14ac:dyDescent="0.25">
      <c r="A1452" s="6">
        <v>45931</v>
      </c>
      <c r="B1452">
        <v>2246.25</v>
      </c>
      <c r="C1452">
        <f>+VLOOKUP(A1452,'Undivideable Expenses'!$D$104:$AH$201,31,0)</f>
        <v>19960</v>
      </c>
      <c r="D1452" s="7">
        <f t="shared" si="376"/>
        <v>11.25375751503006</v>
      </c>
      <c r="G1452" s="7">
        <f>+VLOOKUP(A1452,'Undivideable Expenses'!D$104:AG$201,30,0)</f>
        <v>3837.6094117647058</v>
      </c>
      <c r="H1452" s="7">
        <f t="shared" si="377"/>
        <v>431.87525757397145</v>
      </c>
    </row>
    <row r="1453" spans="1:8" x14ac:dyDescent="0.25">
      <c r="A1453" s="6">
        <v>45932</v>
      </c>
      <c r="B1453">
        <v>2100</v>
      </c>
      <c r="C1453">
        <f>+VLOOKUP(A1453,'Undivideable Expenses'!$D$104:$AH$201,31,0)</f>
        <v>22645.63</v>
      </c>
      <c r="D1453" s="7">
        <f t="shared" si="376"/>
        <v>9.2733123344327364</v>
      </c>
      <c r="G1453" s="7">
        <f>+VLOOKUP(A1453,'Undivideable Expenses'!D$104:AG$201,30,0)</f>
        <v>3203.2896078431372</v>
      </c>
      <c r="H1453" s="7">
        <f t="shared" si="377"/>
        <v>297.05105031171968</v>
      </c>
    </row>
    <row r="1454" spans="1:8" x14ac:dyDescent="0.25">
      <c r="A1454" s="6">
        <v>45945</v>
      </c>
      <c r="B1454">
        <v>376.25</v>
      </c>
      <c r="C1454">
        <f>+VLOOKUP(A1454,'Undivideable Expenses'!$D$104:$AH$201,31,0)</f>
        <v>15747.5</v>
      </c>
      <c r="D1454" s="7">
        <f t="shared" si="376"/>
        <v>2.3892681377996507</v>
      </c>
      <c r="G1454" s="7">
        <f>+VLOOKUP(A1454,'Undivideable Expenses'!D$104:AG$201,30,0)</f>
        <v>3951.51431372549</v>
      </c>
      <c r="H1454" s="7">
        <f t="shared" si="377"/>
        <v>94.412272458435666</v>
      </c>
    </row>
    <row r="1456" spans="1:8" x14ac:dyDescent="0.25">
      <c r="A1456" t="s">
        <v>266</v>
      </c>
    </row>
    <row r="1457" spans="1:8" x14ac:dyDescent="0.25">
      <c r="A1457" s="8" t="s">
        <v>6</v>
      </c>
      <c r="B1457" s="8" t="s">
        <v>265</v>
      </c>
      <c r="C1457" s="22" t="s">
        <v>50</v>
      </c>
      <c r="D1457" s="22" t="s">
        <v>9</v>
      </c>
    </row>
    <row r="1458" spans="1:8" x14ac:dyDescent="0.25">
      <c r="A1458" s="6">
        <v>45888</v>
      </c>
      <c r="B1458" s="12">
        <v>1257.5</v>
      </c>
      <c r="C1458">
        <f>+VLOOKUP(A1458,'Undivideable Expenses'!$D$104:$AH$201,25,0)</f>
        <v>26357.5</v>
      </c>
      <c r="D1458" s="7">
        <f t="shared" ref="D1458" si="378">+B1458/C1458*100</f>
        <v>4.7709380631698757</v>
      </c>
      <c r="G1458" s="7">
        <f>+VLOOKUP(A1458,'Undivideable Expenses'!D$104:AG$201,24,0)</f>
        <v>4637.76</v>
      </c>
      <c r="H1458" s="7">
        <f t="shared" ref="H1458" si="379">+G1458/100*D1458</f>
        <v>221.26465711846723</v>
      </c>
    </row>
    <row r="1459" spans="1:8" x14ac:dyDescent="0.25">
      <c r="A1459" s="6">
        <v>45889</v>
      </c>
      <c r="B1459" s="12">
        <v>2853.75</v>
      </c>
      <c r="C1459">
        <f>+VLOOKUP(A1459,'Undivideable Expenses'!$D$104:$AH$201,25,0)</f>
        <v>24320.63</v>
      </c>
      <c r="D1459" s="7">
        <f t="shared" ref="D1459:D1466" si="380">+B1459/C1459*100</f>
        <v>11.733865446742128</v>
      </c>
      <c r="G1459" s="7">
        <f>+VLOOKUP(A1459,'Undivideable Expenses'!D$104:AG$201,24,0)</f>
        <v>4339.57</v>
      </c>
      <c r="H1459" s="7">
        <f t="shared" ref="H1459:H1466" si="381">+G1459/100*D1459</f>
        <v>509.1993047671873</v>
      </c>
    </row>
    <row r="1460" spans="1:8" x14ac:dyDescent="0.25">
      <c r="A1460" s="6">
        <v>45890</v>
      </c>
      <c r="B1460" s="12">
        <v>3971.25</v>
      </c>
      <c r="C1460">
        <f>+VLOOKUP(A1460,'Undivideable Expenses'!$D$104:$AH$201,25,0)</f>
        <v>19860</v>
      </c>
      <c r="D1460" s="7">
        <f t="shared" si="380"/>
        <v>19.996223564954683</v>
      </c>
      <c r="G1460" s="7">
        <f>+VLOOKUP(A1460,'Undivideable Expenses'!D$104:AG$201,24,0)</f>
        <v>3383.0199999999995</v>
      </c>
      <c r="H1460" s="7">
        <f t="shared" si="381"/>
        <v>676.47624244712983</v>
      </c>
    </row>
    <row r="1461" spans="1:8" x14ac:dyDescent="0.25">
      <c r="A1461" s="6">
        <v>45891</v>
      </c>
      <c r="B1461" s="12">
        <v>3855</v>
      </c>
      <c r="C1461">
        <f>+VLOOKUP(A1461,'Undivideable Expenses'!$D$104:$AH$201,25,0)</f>
        <v>20840</v>
      </c>
      <c r="D1461" s="7">
        <f t="shared" si="380"/>
        <v>18.498080614203456</v>
      </c>
      <c r="G1461" s="7">
        <f>+VLOOKUP(A1461,'Undivideable Expenses'!D$104:AG$201,24,0)</f>
        <v>3028.45</v>
      </c>
      <c r="H1461" s="7">
        <f t="shared" si="381"/>
        <v>560.20512236084448</v>
      </c>
    </row>
    <row r="1462" spans="1:8" x14ac:dyDescent="0.25">
      <c r="A1462" s="6">
        <v>45892</v>
      </c>
      <c r="B1462" s="12">
        <v>4076.875</v>
      </c>
      <c r="C1462">
        <f>+VLOOKUP(A1462,'Undivideable Expenses'!$D$104:$AH$201,25,0)</f>
        <v>19889.38</v>
      </c>
      <c r="D1462" s="7">
        <f t="shared" si="380"/>
        <v>20.497748044433763</v>
      </c>
      <c r="G1462" s="7">
        <f>+VLOOKUP(A1462,'Undivideable Expenses'!D$104:AG$201,24,0)</f>
        <v>3656.3</v>
      </c>
      <c r="H1462" s="7">
        <f t="shared" si="381"/>
        <v>749.45916174863169</v>
      </c>
    </row>
    <row r="1463" spans="1:8" x14ac:dyDescent="0.25">
      <c r="A1463" s="6">
        <v>45893</v>
      </c>
      <c r="B1463" s="12">
        <v>3686.041666666667</v>
      </c>
      <c r="C1463">
        <f>+VLOOKUP(A1463,'Undivideable Expenses'!$D$104:$AH$201,25,0)</f>
        <v>15682.42</v>
      </c>
      <c r="D1463" s="7">
        <f t="shared" si="380"/>
        <v>23.504291216959288</v>
      </c>
      <c r="G1463" s="7">
        <f>+VLOOKUP(A1463,'Undivideable Expenses'!D$104:AG$201,24,0)</f>
        <v>3480.49</v>
      </c>
      <c r="H1463" s="7">
        <f t="shared" si="381"/>
        <v>818.06450537714625</v>
      </c>
    </row>
    <row r="1464" spans="1:8" x14ac:dyDescent="0.25">
      <c r="A1464" s="6">
        <v>45894</v>
      </c>
      <c r="B1464" s="12">
        <v>5620</v>
      </c>
      <c r="C1464">
        <f>+VLOOKUP(A1464,'Undivideable Expenses'!$D$104:$AH$201,25,0)</f>
        <v>27073.75</v>
      </c>
      <c r="D1464" s="7">
        <f t="shared" si="380"/>
        <v>20.758114409714207</v>
      </c>
      <c r="G1464" s="7">
        <f>+VLOOKUP(A1464,'Undivideable Expenses'!D$104:AG$201,24,0)</f>
        <v>4548.1900000000005</v>
      </c>
      <c r="H1464" s="7">
        <f t="shared" si="381"/>
        <v>944.11848377118065</v>
      </c>
    </row>
    <row r="1465" spans="1:8" x14ac:dyDescent="0.25">
      <c r="A1465" s="6">
        <v>45895</v>
      </c>
      <c r="B1465" s="12">
        <v>3375</v>
      </c>
      <c r="C1465">
        <f>+VLOOKUP(A1465,'Undivideable Expenses'!$D$104:$AH$201,25,0)</f>
        <v>25658.75</v>
      </c>
      <c r="D1465" s="7">
        <f t="shared" si="380"/>
        <v>13.153407706922589</v>
      </c>
      <c r="G1465" s="7">
        <f>+VLOOKUP(A1465,'Undivideable Expenses'!D$104:AG$201,24,0)</f>
        <v>4352.25</v>
      </c>
      <c r="H1465" s="7">
        <f t="shared" si="381"/>
        <v>572.46918692453846</v>
      </c>
    </row>
    <row r="1466" spans="1:8" x14ac:dyDescent="0.25">
      <c r="A1466" s="6">
        <v>45896</v>
      </c>
      <c r="B1466" s="12">
        <v>796.25</v>
      </c>
      <c r="C1466">
        <f>+VLOOKUP(A1466,'Undivideable Expenses'!$D$104:$AH$201,25,0)</f>
        <v>25224.38</v>
      </c>
      <c r="D1466" s="7">
        <f t="shared" si="380"/>
        <v>3.1566682709347065</v>
      </c>
      <c r="G1466" s="7">
        <f>+VLOOKUP(A1466,'Undivideable Expenses'!D$104:AG$201,24,0)</f>
        <v>4448.22</v>
      </c>
      <c r="H1466" s="7">
        <f t="shared" si="381"/>
        <v>140.41554936137183</v>
      </c>
    </row>
    <row r="1468" spans="1:8" x14ac:dyDescent="0.25">
      <c r="A1468" t="s">
        <v>268</v>
      </c>
    </row>
    <row r="1469" spans="1:8" x14ac:dyDescent="0.25">
      <c r="A1469" s="8" t="s">
        <v>6</v>
      </c>
      <c r="B1469" s="8" t="s">
        <v>267</v>
      </c>
      <c r="C1469" s="22" t="s">
        <v>50</v>
      </c>
      <c r="D1469" s="22" t="s">
        <v>9</v>
      </c>
    </row>
    <row r="1470" spans="1:8" x14ac:dyDescent="0.25">
      <c r="A1470" s="6">
        <v>45890</v>
      </c>
      <c r="B1470" s="12">
        <v>940</v>
      </c>
      <c r="C1470">
        <f>+VLOOKUP(A1470,'Undivideable Expenses'!$D$104:$AH$201,25,0)</f>
        <v>19860</v>
      </c>
      <c r="D1470" s="7">
        <f t="shared" ref="D1470" si="382">+B1470/C1470*100</f>
        <v>4.7331319234642493</v>
      </c>
      <c r="G1470" s="7">
        <f>+VLOOKUP(A1470,'Undivideable Expenses'!D$104:AG$201,24,0)</f>
        <v>3383.0199999999995</v>
      </c>
      <c r="H1470" s="7">
        <f t="shared" ref="H1470" si="383">+G1470/100*D1470</f>
        <v>160.12279959718023</v>
      </c>
    </row>
    <row r="1471" spans="1:8" x14ac:dyDescent="0.25">
      <c r="A1471" s="6">
        <v>45891</v>
      </c>
      <c r="B1471" s="12">
        <v>627.5</v>
      </c>
      <c r="C1471">
        <f>+VLOOKUP(A1471,'Undivideable Expenses'!$D$104:$AH$201,25,0)</f>
        <v>20840</v>
      </c>
      <c r="D1471" s="7">
        <f t="shared" ref="D1471:D1480" si="384">+B1471/C1471*100</f>
        <v>3.0110364683301345</v>
      </c>
      <c r="G1471" s="7">
        <f>+VLOOKUP(A1471,'Undivideable Expenses'!D$104:AG$201,24,0)</f>
        <v>3028.45</v>
      </c>
      <c r="H1471" s="7">
        <f t="shared" ref="H1471:H1480" si="385">+G1471/100*D1471</f>
        <v>91.187733925143945</v>
      </c>
    </row>
    <row r="1472" spans="1:8" x14ac:dyDescent="0.25">
      <c r="A1472" s="6">
        <v>45892</v>
      </c>
      <c r="B1472" s="12">
        <v>168.75</v>
      </c>
      <c r="C1472">
        <f>+VLOOKUP(A1472,'Undivideable Expenses'!$D$104:$AH$201,25,0)</f>
        <v>19889.38</v>
      </c>
      <c r="D1472" s="7">
        <f t="shared" si="384"/>
        <v>0.84844273677711413</v>
      </c>
      <c r="G1472" s="7">
        <f>+VLOOKUP(A1472,'Undivideable Expenses'!D$104:AG$201,24,0)</f>
        <v>3656.3</v>
      </c>
      <c r="H1472" s="7">
        <f t="shared" si="385"/>
        <v>31.021611784781626</v>
      </c>
    </row>
    <row r="1473" spans="1:8" x14ac:dyDescent="0.25">
      <c r="A1473" s="6">
        <v>45893</v>
      </c>
      <c r="B1473" s="12">
        <v>1882.0833333333333</v>
      </c>
      <c r="C1473">
        <f>+VLOOKUP(A1473,'Undivideable Expenses'!$D$104:$AH$201,25,0)</f>
        <v>15682.42</v>
      </c>
      <c r="D1473" s="7">
        <f t="shared" si="384"/>
        <v>12.001230252303746</v>
      </c>
      <c r="G1473" s="7">
        <f>+VLOOKUP(A1473,'Undivideable Expenses'!D$104:AG$201,24,0)</f>
        <v>3480.49</v>
      </c>
      <c r="H1473" s="7">
        <f t="shared" si="385"/>
        <v>417.70161880840658</v>
      </c>
    </row>
    <row r="1474" spans="1:8" x14ac:dyDescent="0.25">
      <c r="A1474" s="6">
        <v>45894</v>
      </c>
      <c r="B1474" s="12">
        <v>3706.25</v>
      </c>
      <c r="C1474">
        <f>+VLOOKUP(A1474,'Undivideable Expenses'!$D$104:$AH$201,25,0)</f>
        <v>27073.75</v>
      </c>
      <c r="D1474" s="7">
        <f t="shared" si="384"/>
        <v>13.689459347153607</v>
      </c>
      <c r="G1474" s="7">
        <f>+VLOOKUP(A1474,'Undivideable Expenses'!D$104:AG$201,24,0)</f>
        <v>4548.1900000000005</v>
      </c>
      <c r="H1474" s="7">
        <f t="shared" si="385"/>
        <v>622.62262108130562</v>
      </c>
    </row>
    <row r="1475" spans="1:8" x14ac:dyDescent="0.25">
      <c r="A1475" s="6">
        <v>45895</v>
      </c>
      <c r="B1475" s="12">
        <v>1852.5</v>
      </c>
      <c r="C1475">
        <f>+VLOOKUP(A1475,'Undivideable Expenses'!$D$104:$AH$201,25,0)</f>
        <v>25658.75</v>
      </c>
      <c r="D1475" s="7">
        <f t="shared" si="384"/>
        <v>7.2197593413552879</v>
      </c>
      <c r="G1475" s="7">
        <f>+VLOOKUP(A1475,'Undivideable Expenses'!D$104:AG$201,24,0)</f>
        <v>4352.25</v>
      </c>
      <c r="H1475" s="7">
        <f t="shared" si="385"/>
        <v>314.22197593413551</v>
      </c>
    </row>
    <row r="1476" spans="1:8" x14ac:dyDescent="0.25">
      <c r="A1476" s="6">
        <v>45896</v>
      </c>
      <c r="B1476" s="12">
        <v>2145</v>
      </c>
      <c r="C1476">
        <f>+VLOOKUP(A1476,'Undivideable Expenses'!$D$104:$AH$201,25,0)</f>
        <v>25224.38</v>
      </c>
      <c r="D1476" s="7">
        <f t="shared" si="384"/>
        <v>8.5036777910894141</v>
      </c>
      <c r="G1476" s="7">
        <f>+VLOOKUP(A1476,'Undivideable Expenses'!D$104:AG$201,24,0)</f>
        <v>4448.22</v>
      </c>
      <c r="H1476" s="7">
        <f t="shared" si="385"/>
        <v>378.2622962387976</v>
      </c>
    </row>
    <row r="1477" spans="1:8" x14ac:dyDescent="0.25">
      <c r="A1477" s="6">
        <v>45897</v>
      </c>
      <c r="B1477" s="12">
        <v>150</v>
      </c>
      <c r="C1477">
        <f>+VLOOKUP(A1477,'Undivideable Expenses'!$D$104:$AH$201,25,0)</f>
        <v>25756.86</v>
      </c>
      <c r="D1477" s="7">
        <f t="shared" si="384"/>
        <v>0.58236912418672149</v>
      </c>
      <c r="G1477" s="7">
        <f>+VLOOKUP(A1477,'Undivideable Expenses'!D$104:AG$201,24,0)</f>
        <v>4630.41</v>
      </c>
      <c r="H1477" s="7">
        <f t="shared" si="385"/>
        <v>26.96607816325437</v>
      </c>
    </row>
    <row r="1478" spans="1:8" x14ac:dyDescent="0.25">
      <c r="A1478" s="6">
        <v>45898</v>
      </c>
      <c r="B1478" s="12">
        <v>150</v>
      </c>
      <c r="C1478">
        <f>+VLOOKUP(A1478,'Undivideable Expenses'!$D$104:$AH$201,25,0)</f>
        <v>24982.5</v>
      </c>
      <c r="D1478" s="7">
        <f t="shared" si="384"/>
        <v>0.60042029420594423</v>
      </c>
      <c r="G1478" s="7">
        <f>+VLOOKUP(A1478,'Undivideable Expenses'!D$104:AG$201,24,0)</f>
        <v>4639.16</v>
      </c>
      <c r="H1478" s="7">
        <f t="shared" si="385"/>
        <v>27.85445812068448</v>
      </c>
    </row>
    <row r="1479" spans="1:8" x14ac:dyDescent="0.25">
      <c r="A1479" s="6">
        <v>45899</v>
      </c>
      <c r="B1479" s="12">
        <v>272.5</v>
      </c>
      <c r="C1479">
        <f>+VLOOKUP(A1479,'Undivideable Expenses'!$D$104:$AH$201,25,0)</f>
        <v>20771.919999999998</v>
      </c>
      <c r="D1479" s="7">
        <f t="shared" si="384"/>
        <v>1.3118671745317718</v>
      </c>
      <c r="G1479" s="7">
        <f>+VLOOKUP(A1479,'Undivideable Expenses'!D$104:AG$201,24,0)</f>
        <v>3540.2400000000002</v>
      </c>
      <c r="H1479" s="7">
        <f t="shared" si="385"/>
        <v>46.443246459643596</v>
      </c>
    </row>
    <row r="1480" spans="1:8" x14ac:dyDescent="0.25">
      <c r="A1480" s="6">
        <v>45901</v>
      </c>
      <c r="B1480" s="12">
        <v>261.25</v>
      </c>
      <c r="C1480">
        <f>+VLOOKUP(A1480,'Undivideable Expenses'!$D$104:$AH$201,31,0)</f>
        <v>20357.310000000001</v>
      </c>
      <c r="D1480" s="7">
        <f t="shared" si="384"/>
        <v>1.2833227965777403</v>
      </c>
      <c r="G1480" s="7">
        <f>+VLOOKUP(A1480,'Undivideable Expenses'!D$104:AG$201,30,0)</f>
        <v>4437.38</v>
      </c>
      <c r="H1480" s="7">
        <f t="shared" si="385"/>
        <v>56.945909110781336</v>
      </c>
    </row>
    <row r="1481" spans="1:8" x14ac:dyDescent="0.25">
      <c r="A1481" s="6">
        <v>45902</v>
      </c>
      <c r="B1481" s="12">
        <v>220</v>
      </c>
      <c r="C1481">
        <f>+VLOOKUP(A1481,'Undivideable Expenses'!$D$104:$AH$201,31,0)</f>
        <v>23629.9</v>
      </c>
      <c r="D1481" s="7">
        <f t="shared" ref="D1481:D1486" si="386">+B1481/C1481*100</f>
        <v>0.93102382997812083</v>
      </c>
      <c r="G1481" s="7">
        <f>+VLOOKUP(A1481,'Undivideable Expenses'!D$104:AG$201,30,0)</f>
        <v>4535.63</v>
      </c>
      <c r="H1481" s="7">
        <f t="shared" ref="H1481:H1486" si="387">+G1481/100*D1481</f>
        <v>42.227796139636645</v>
      </c>
    </row>
    <row r="1482" spans="1:8" x14ac:dyDescent="0.25">
      <c r="A1482" s="6">
        <v>45903</v>
      </c>
      <c r="B1482" s="12">
        <v>570</v>
      </c>
      <c r="C1482">
        <f>+VLOOKUP(A1482,'Undivideable Expenses'!$D$104:$AH$201,31,0)</f>
        <v>23717.5</v>
      </c>
      <c r="D1482" s="7">
        <f t="shared" si="386"/>
        <v>2.403288710867503</v>
      </c>
      <c r="G1482" s="7">
        <f>+VLOOKUP(A1482,'Undivideable Expenses'!D$104:AG$201,30,0)</f>
        <v>3824.46</v>
      </c>
      <c r="H1482" s="7">
        <f t="shared" si="387"/>
        <v>91.912815431643295</v>
      </c>
    </row>
    <row r="1483" spans="1:8" x14ac:dyDescent="0.25">
      <c r="A1483" s="6">
        <v>45904</v>
      </c>
      <c r="B1483" s="12">
        <v>330</v>
      </c>
      <c r="C1483">
        <f>+VLOOKUP(A1483,'Undivideable Expenses'!$D$104:$AH$201,31,0)</f>
        <v>18022</v>
      </c>
      <c r="D1483" s="7">
        <f t="shared" si="386"/>
        <v>1.8310953279325268</v>
      </c>
      <c r="G1483" s="7">
        <f>+VLOOKUP(A1483,'Undivideable Expenses'!D$104:AG$201,30,0)</f>
        <v>3321.4500000000003</v>
      </c>
      <c r="H1483" s="7">
        <f t="shared" si="387"/>
        <v>60.818915769614911</v>
      </c>
    </row>
    <row r="1484" spans="1:8" x14ac:dyDescent="0.25">
      <c r="A1484" s="6">
        <v>45905</v>
      </c>
      <c r="B1484" s="12">
        <v>347.5</v>
      </c>
      <c r="C1484">
        <f>+VLOOKUP(A1484,'Undivideable Expenses'!$D$104:$AH$201,31,0)</f>
        <v>22442.61</v>
      </c>
      <c r="D1484" s="7">
        <f t="shared" si="386"/>
        <v>1.5483938811038467</v>
      </c>
      <c r="G1484" s="7">
        <f>+VLOOKUP(A1484,'Undivideable Expenses'!D$104:AG$201,30,0)</f>
        <v>4314.3</v>
      </c>
      <c r="H1484" s="7">
        <f t="shared" si="387"/>
        <v>66.802357212463264</v>
      </c>
    </row>
    <row r="1485" spans="1:8" x14ac:dyDescent="0.25">
      <c r="A1485" s="6">
        <v>45906</v>
      </c>
      <c r="B1485" s="12">
        <v>220</v>
      </c>
      <c r="C1485">
        <f>+VLOOKUP(A1485,'Undivideable Expenses'!$D$104:$AH$201,31,0)</f>
        <v>25357.03</v>
      </c>
      <c r="D1485" s="7">
        <f t="shared" si="386"/>
        <v>0.86760949527606346</v>
      </c>
      <c r="G1485" s="7">
        <f>+VLOOKUP(A1485,'Undivideable Expenses'!D$104:AG$201,30,0)</f>
        <v>3841.07</v>
      </c>
      <c r="H1485" s="7">
        <f t="shared" si="387"/>
        <v>33.325488040200291</v>
      </c>
    </row>
    <row r="1486" spans="1:8" x14ac:dyDescent="0.25">
      <c r="A1486" s="6">
        <v>45911</v>
      </c>
      <c r="B1486" s="12">
        <v>62.5</v>
      </c>
      <c r="C1486">
        <f>+VLOOKUP(A1486,'Undivideable Expenses'!$D$104:$AH$201,31,0)</f>
        <v>26752.45</v>
      </c>
      <c r="D1486" s="7">
        <f t="shared" si="386"/>
        <v>0.23362346252399313</v>
      </c>
      <c r="G1486" s="7">
        <f>+VLOOKUP(A1486,'Undivideable Expenses'!D$104:AG$201,30,0)</f>
        <v>4547.96</v>
      </c>
      <c r="H1486" s="7">
        <f t="shared" si="387"/>
        <v>10.625101626206197</v>
      </c>
    </row>
    <row r="1488" spans="1:8" x14ac:dyDescent="0.25">
      <c r="A1488" t="s">
        <v>270</v>
      </c>
    </row>
    <row r="1489" spans="1:8" x14ac:dyDescent="0.25">
      <c r="A1489" s="8" t="s">
        <v>6</v>
      </c>
      <c r="B1489" s="8" t="s">
        <v>269</v>
      </c>
      <c r="C1489" s="22" t="s">
        <v>50</v>
      </c>
      <c r="D1489" s="22" t="s">
        <v>9</v>
      </c>
    </row>
    <row r="1490" spans="1:8" x14ac:dyDescent="0.25">
      <c r="A1490" s="6">
        <v>45891</v>
      </c>
      <c r="B1490" s="12">
        <v>3052.5</v>
      </c>
      <c r="C1490">
        <f>+VLOOKUP(A1490,'Undivideable Expenses'!$D$104:$AH$201,25,0)</f>
        <v>20840</v>
      </c>
      <c r="D1490" s="7">
        <f t="shared" ref="D1490" si="388">+B1490/C1490*100</f>
        <v>14.647312859884837</v>
      </c>
      <c r="G1490" s="7">
        <f>+VLOOKUP(A1490,'Undivideable Expenses'!D$104:AG$201,24,0)</f>
        <v>3028.45</v>
      </c>
      <c r="H1490" s="7">
        <f t="shared" ref="H1490" si="389">+G1490/100*D1490</f>
        <v>443.58654630518231</v>
      </c>
    </row>
    <row r="1491" spans="1:8" x14ac:dyDescent="0.25">
      <c r="A1491" s="6">
        <v>45892</v>
      </c>
      <c r="B1491" s="12">
        <v>4546.25</v>
      </c>
      <c r="C1491">
        <f>+VLOOKUP(A1491,'Undivideable Expenses'!$D$104:$AH$201,25,0)</f>
        <v>19889.38</v>
      </c>
      <c r="D1491" s="7">
        <f t="shared" ref="D1491:D1497" si="390">+B1491/C1491*100</f>
        <v>22.857675804876774</v>
      </c>
      <c r="G1491" s="7">
        <f>+VLOOKUP(A1491,'Undivideable Expenses'!D$104:AG$201,24,0)</f>
        <v>3656.3</v>
      </c>
      <c r="H1491" s="7">
        <f t="shared" ref="H1491:H1497" si="391">+G1491/100*D1491</f>
        <v>835.74520045370957</v>
      </c>
    </row>
    <row r="1492" spans="1:8" x14ac:dyDescent="0.25">
      <c r="A1492" s="6">
        <v>45893</v>
      </c>
      <c r="B1492" s="12">
        <v>2551.0416666666665</v>
      </c>
      <c r="C1492">
        <f>+VLOOKUP(A1492,'Undivideable Expenses'!$D$104:$AH$201,25,0)</f>
        <v>15682.42</v>
      </c>
      <c r="D1492" s="7">
        <f t="shared" si="390"/>
        <v>16.266887806006132</v>
      </c>
      <c r="G1492" s="7">
        <f>+VLOOKUP(A1492,'Undivideable Expenses'!D$104:AG$201,24,0)</f>
        <v>3480.49</v>
      </c>
      <c r="H1492" s="7">
        <f t="shared" si="391"/>
        <v>566.16740339926275</v>
      </c>
    </row>
    <row r="1493" spans="1:8" x14ac:dyDescent="0.25">
      <c r="A1493" s="6">
        <v>45894</v>
      </c>
      <c r="B1493" s="12">
        <v>4168.75</v>
      </c>
      <c r="C1493">
        <f>+VLOOKUP(A1493,'Undivideable Expenses'!$D$104:$AH$201,25,0)</f>
        <v>27073.75</v>
      </c>
      <c r="D1493" s="7">
        <f t="shared" si="390"/>
        <v>15.397756129091833</v>
      </c>
      <c r="G1493" s="7">
        <f>+VLOOKUP(A1493,'Undivideable Expenses'!D$104:AG$201,24,0)</f>
        <v>4548.1900000000005</v>
      </c>
      <c r="H1493" s="7">
        <f t="shared" si="391"/>
        <v>700.3192044877419</v>
      </c>
    </row>
    <row r="1494" spans="1:8" x14ac:dyDescent="0.25">
      <c r="A1494" s="6">
        <v>45895</v>
      </c>
      <c r="B1494" s="12">
        <v>8751.25</v>
      </c>
      <c r="C1494">
        <f>+VLOOKUP(A1494,'Undivideable Expenses'!$D$104:$AH$201,25,0)</f>
        <v>25658.75</v>
      </c>
      <c r="D1494" s="7">
        <f t="shared" si="390"/>
        <v>34.10629902080187</v>
      </c>
      <c r="G1494" s="7">
        <f>+VLOOKUP(A1494,'Undivideable Expenses'!D$104:AG$201,24,0)</f>
        <v>4352.25</v>
      </c>
      <c r="H1494" s="7">
        <f t="shared" si="391"/>
        <v>1484.3913991328495</v>
      </c>
    </row>
    <row r="1495" spans="1:8" x14ac:dyDescent="0.25">
      <c r="A1495" s="6">
        <v>45896</v>
      </c>
      <c r="B1495" s="12">
        <v>4657.5</v>
      </c>
      <c r="C1495">
        <f>+VLOOKUP(A1495,'Undivideable Expenses'!$D$104:$AH$201,25,0)</f>
        <v>25224.38</v>
      </c>
      <c r="D1495" s="7">
        <f t="shared" si="390"/>
        <v>18.464279399533307</v>
      </c>
      <c r="G1495" s="7">
        <f>+VLOOKUP(A1495,'Undivideable Expenses'!D$104:AG$201,24,0)</f>
        <v>4448.22</v>
      </c>
      <c r="H1495" s="7">
        <f t="shared" si="391"/>
        <v>821.33176910592056</v>
      </c>
    </row>
    <row r="1496" spans="1:8" x14ac:dyDescent="0.25">
      <c r="A1496" s="6">
        <v>45897</v>
      </c>
      <c r="B1496" s="12">
        <v>5372.5</v>
      </c>
      <c r="C1496">
        <f>+VLOOKUP(A1496,'Undivideable Expenses'!$D$104:$AH$201,25,0)</f>
        <v>25756.86</v>
      </c>
      <c r="D1496" s="7">
        <f t="shared" si="390"/>
        <v>20.858520797954409</v>
      </c>
      <c r="G1496" s="7">
        <f>+VLOOKUP(A1496,'Undivideable Expenses'!D$104:AG$201,24,0)</f>
        <v>4630.41</v>
      </c>
      <c r="H1496" s="7">
        <f t="shared" si="391"/>
        <v>965.83503288056068</v>
      </c>
    </row>
    <row r="1497" spans="1:8" x14ac:dyDescent="0.25">
      <c r="A1497" s="6">
        <v>45898</v>
      </c>
      <c r="B1497" s="12">
        <v>925</v>
      </c>
      <c r="C1497">
        <f>+VLOOKUP(A1497,'Undivideable Expenses'!$D$104:$AH$201,25,0)</f>
        <v>24982.5</v>
      </c>
      <c r="D1497" s="7">
        <f t="shared" si="390"/>
        <v>3.7025918142699892</v>
      </c>
      <c r="G1497" s="7">
        <f>+VLOOKUP(A1497,'Undivideable Expenses'!D$104:AG$201,24,0)</f>
        <v>4639.16</v>
      </c>
      <c r="H1497" s="7">
        <f t="shared" si="391"/>
        <v>171.76915841088763</v>
      </c>
    </row>
    <row r="1499" spans="1:8" x14ac:dyDescent="0.25">
      <c r="A1499" t="s">
        <v>272</v>
      </c>
    </row>
    <row r="1500" spans="1:8" x14ac:dyDescent="0.25">
      <c r="A1500" s="8" t="s">
        <v>6</v>
      </c>
      <c r="B1500" s="8" t="s">
        <v>271</v>
      </c>
      <c r="C1500" s="22" t="s">
        <v>50</v>
      </c>
      <c r="D1500" s="22" t="s">
        <v>9</v>
      </c>
    </row>
    <row r="1501" spans="1:8" x14ac:dyDescent="0.25">
      <c r="A1501" s="6">
        <v>45909</v>
      </c>
      <c r="B1501">
        <v>1402.5</v>
      </c>
      <c r="C1501">
        <f>+VLOOKUP(A1501,'Undivideable Expenses'!$D$104:$AH$201,31,0)</f>
        <v>25931.25</v>
      </c>
      <c r="D1501" s="7">
        <f t="shared" ref="D1501" si="392">+B1501/C1501*100</f>
        <v>5.4085321764280545</v>
      </c>
      <c r="G1501" s="7">
        <f>+VLOOKUP(A1501,'Undivideable Expenses'!D$104:AG$201,30,0)</f>
        <v>4342.7</v>
      </c>
      <c r="H1501" s="7">
        <f t="shared" ref="H1501" si="393">+G1501/100*D1501</f>
        <v>234.87632682574113</v>
      </c>
    </row>
    <row r="1502" spans="1:8" x14ac:dyDescent="0.25">
      <c r="A1502" s="6">
        <v>45910</v>
      </c>
      <c r="B1502">
        <v>3543.2988721804509</v>
      </c>
      <c r="C1502">
        <f>+VLOOKUP(A1502,'Undivideable Expenses'!$D$104:$AH$201,31,0)</f>
        <v>25830.799999999999</v>
      </c>
      <c r="D1502" s="7">
        <f t="shared" ref="D1502:D1537" si="394">+B1502/C1502*100</f>
        <v>13.717340818636863</v>
      </c>
      <c r="G1502" s="7">
        <f>+VLOOKUP(A1502,'Undivideable Expenses'!D$104:AG$201,30,0)</f>
        <v>4179.7700000000004</v>
      </c>
      <c r="H1502" s="7">
        <f t="shared" ref="H1502:H1537" si="395">+G1502/100*D1502</f>
        <v>573.35329633513811</v>
      </c>
    </row>
    <row r="1503" spans="1:8" x14ac:dyDescent="0.25">
      <c r="A1503" s="6">
        <v>45911</v>
      </c>
      <c r="B1503">
        <v>3055</v>
      </c>
      <c r="C1503">
        <f>+VLOOKUP(A1503,'Undivideable Expenses'!$D$104:$AH$201,31,0)</f>
        <v>26752.45</v>
      </c>
      <c r="D1503" s="7">
        <f t="shared" si="394"/>
        <v>11.419514848172783</v>
      </c>
      <c r="G1503" s="7">
        <f>+VLOOKUP(A1503,'Undivideable Expenses'!D$104:AG$201,30,0)</f>
        <v>4547.96</v>
      </c>
      <c r="H1503" s="7">
        <f t="shared" si="395"/>
        <v>519.35496748895889</v>
      </c>
    </row>
    <row r="1504" spans="1:8" x14ac:dyDescent="0.25">
      <c r="A1504" s="6">
        <v>45912</v>
      </c>
      <c r="B1504">
        <v>2330</v>
      </c>
      <c r="C1504">
        <f>+VLOOKUP(A1504,'Undivideable Expenses'!$D$104:$AH$201,31,0)</f>
        <v>25098.19</v>
      </c>
      <c r="D1504" s="7">
        <f t="shared" si="394"/>
        <v>9.2835379762445012</v>
      </c>
      <c r="G1504" s="7">
        <f>+VLOOKUP(A1504,'Undivideable Expenses'!D$104:AG$201,30,0)</f>
        <v>4596.2699999999995</v>
      </c>
      <c r="H1504" s="7">
        <f t="shared" si="395"/>
        <v>426.69647094073309</v>
      </c>
    </row>
    <row r="1505" spans="1:8" x14ac:dyDescent="0.25">
      <c r="A1505" s="6">
        <v>45913</v>
      </c>
      <c r="B1505">
        <v>1655</v>
      </c>
      <c r="C1505">
        <f>+VLOOKUP(A1505,'Undivideable Expenses'!$D$104:$AH$201,31,0)</f>
        <v>23180.7</v>
      </c>
      <c r="D1505" s="7">
        <f t="shared" si="394"/>
        <v>7.139560065054118</v>
      </c>
      <c r="G1505" s="7">
        <f>+VLOOKUP(A1505,'Undivideable Expenses'!D$104:AG$201,30,0)</f>
        <v>3633.71</v>
      </c>
      <c r="H1505" s="7">
        <f t="shared" si="395"/>
        <v>259.43090803987798</v>
      </c>
    </row>
    <row r="1506" spans="1:8" x14ac:dyDescent="0.25">
      <c r="A1506" s="6">
        <v>45915</v>
      </c>
      <c r="B1506">
        <v>4132.5</v>
      </c>
      <c r="C1506">
        <f>+VLOOKUP(A1506,'Undivideable Expenses'!$D$104:$AH$201,31,0)</f>
        <v>26345.4</v>
      </c>
      <c r="D1506" s="7">
        <f t="shared" si="394"/>
        <v>15.685850281263521</v>
      </c>
      <c r="G1506" s="7">
        <f>+VLOOKUP(A1506,'Undivideable Expenses'!D$104:AG$201,30,0)</f>
        <v>4497.5</v>
      </c>
      <c r="H1506" s="7">
        <f t="shared" si="395"/>
        <v>705.47111639982688</v>
      </c>
    </row>
    <row r="1507" spans="1:8" x14ac:dyDescent="0.25">
      <c r="A1507" s="6">
        <v>45916</v>
      </c>
      <c r="B1507">
        <v>4546.25</v>
      </c>
      <c r="C1507">
        <f>+VLOOKUP(A1507,'Undivideable Expenses'!$D$104:$AH$201,31,0)</f>
        <v>26795</v>
      </c>
      <c r="D1507" s="7">
        <f t="shared" si="394"/>
        <v>16.966784847919389</v>
      </c>
      <c r="G1507" s="7">
        <f>+VLOOKUP(A1507,'Undivideable Expenses'!D$104:AG$201,30,0)</f>
        <v>4756.51</v>
      </c>
      <c r="H1507" s="7">
        <f t="shared" si="395"/>
        <v>807.02681796977049</v>
      </c>
    </row>
    <row r="1508" spans="1:8" x14ac:dyDescent="0.25">
      <c r="A1508" s="6">
        <v>45917</v>
      </c>
      <c r="B1508">
        <v>2386.25</v>
      </c>
      <c r="C1508">
        <f>+VLOOKUP(A1508,'Undivideable Expenses'!$D$104:$AH$201,31,0)</f>
        <v>23606.31</v>
      </c>
      <c r="D1508" s="7">
        <f t="shared" si="394"/>
        <v>10.108526067818307</v>
      </c>
      <c r="G1508" s="7">
        <f>+VLOOKUP(A1508,'Undivideable Expenses'!D$104:AG$201,30,0)</f>
        <v>4441.4399999999996</v>
      </c>
      <c r="H1508" s="7">
        <f t="shared" si="395"/>
        <v>448.96412018650932</v>
      </c>
    </row>
    <row r="1509" spans="1:8" x14ac:dyDescent="0.25">
      <c r="A1509" s="6">
        <v>45918</v>
      </c>
      <c r="B1509">
        <v>2195</v>
      </c>
      <c r="C1509">
        <f>+VLOOKUP(A1509,'Undivideable Expenses'!$D$104:$AH$201,31,0)</f>
        <v>22551.25</v>
      </c>
      <c r="D1509" s="7">
        <f t="shared" si="394"/>
        <v>9.7333850673465996</v>
      </c>
      <c r="G1509" s="7">
        <f>+VLOOKUP(A1509,'Undivideable Expenses'!D$104:AG$201,30,0)</f>
        <v>4633.42</v>
      </c>
      <c r="H1509" s="7">
        <f t="shared" si="395"/>
        <v>450.98861038745082</v>
      </c>
    </row>
    <row r="1510" spans="1:8" x14ac:dyDescent="0.25">
      <c r="A1510" s="6">
        <v>45919</v>
      </c>
      <c r="B1510">
        <v>595</v>
      </c>
      <c r="C1510">
        <f>+VLOOKUP(A1510,'Undivideable Expenses'!$D$104:$AH$201,31,0)</f>
        <v>23254.17</v>
      </c>
      <c r="D1510" s="7">
        <f t="shared" si="394"/>
        <v>2.558680873150923</v>
      </c>
      <c r="G1510" s="7">
        <f>+VLOOKUP(A1510,'Undivideable Expenses'!D$104:AG$201,30,0)</f>
        <v>3861.57</v>
      </c>
      <c r="H1510" s="7">
        <f t="shared" si="395"/>
        <v>98.805252993334108</v>
      </c>
    </row>
    <row r="1511" spans="1:8" x14ac:dyDescent="0.25">
      <c r="A1511" s="6">
        <v>45920</v>
      </c>
      <c r="B1511">
        <v>183.75</v>
      </c>
      <c r="C1511">
        <f>+VLOOKUP(A1511,'Undivideable Expenses'!$D$104:$AH$201,31,0)</f>
        <v>21410.94</v>
      </c>
      <c r="D1511" s="7">
        <f t="shared" si="394"/>
        <v>0.85820613200541418</v>
      </c>
      <c r="G1511" s="7">
        <f>+VLOOKUP(A1511,'Undivideable Expenses'!D$104:AG$201,30,0)</f>
        <v>4413.95</v>
      </c>
      <c r="H1511" s="7">
        <f t="shared" si="395"/>
        <v>37.880789563652975</v>
      </c>
    </row>
    <row r="1512" spans="1:8" x14ac:dyDescent="0.25">
      <c r="A1512" s="6">
        <v>45921</v>
      </c>
      <c r="B1512">
        <v>590</v>
      </c>
      <c r="C1512">
        <f>+VLOOKUP(A1512,'Undivideable Expenses'!$D$104:$AH$201,31,0)</f>
        <v>17500</v>
      </c>
      <c r="D1512" s="7">
        <f t="shared" si="394"/>
        <v>3.3714285714285719</v>
      </c>
      <c r="G1512" s="7">
        <f>+VLOOKUP(A1512,'Undivideable Expenses'!D$104:AG$201,30,0)</f>
        <v>4082.81</v>
      </c>
      <c r="H1512" s="7">
        <f t="shared" si="395"/>
        <v>137.64902285714288</v>
      </c>
    </row>
    <row r="1513" spans="1:8" x14ac:dyDescent="0.25">
      <c r="A1513" s="6">
        <v>45922</v>
      </c>
      <c r="B1513">
        <v>130</v>
      </c>
      <c r="C1513">
        <f>+VLOOKUP(A1513,'Undivideable Expenses'!$D$104:$AH$201,31,0)</f>
        <v>23698.75</v>
      </c>
      <c r="D1513" s="7">
        <f t="shared" si="394"/>
        <v>0.54855213882588738</v>
      </c>
      <c r="G1513" s="7">
        <f>+VLOOKUP(A1513,'Undivideable Expenses'!D$104:AG$201,30,0)</f>
        <v>4528.6099999999997</v>
      </c>
      <c r="H1513" s="7">
        <f t="shared" si="395"/>
        <v>24.841787014083017</v>
      </c>
    </row>
    <row r="1514" spans="1:8" x14ac:dyDescent="0.25">
      <c r="A1514" s="6">
        <v>45923</v>
      </c>
      <c r="B1514">
        <v>3031.25</v>
      </c>
      <c r="C1514">
        <f>+VLOOKUP(A1514,'Undivideable Expenses'!$D$104:$AH$201,31,0)</f>
        <v>24436.93</v>
      </c>
      <c r="D1514" s="7">
        <f t="shared" si="394"/>
        <v>12.404381401428084</v>
      </c>
      <c r="G1514" s="7">
        <f>+VLOOKUP(A1514,'Undivideable Expenses'!D$104:AG$201,30,0)</f>
        <v>4508.97</v>
      </c>
      <c r="H1514" s="7">
        <f t="shared" si="395"/>
        <v>559.30983607597193</v>
      </c>
    </row>
    <row r="1515" spans="1:8" x14ac:dyDescent="0.25">
      <c r="A1515" s="6">
        <v>45924</v>
      </c>
      <c r="B1515">
        <v>1100</v>
      </c>
      <c r="C1515">
        <f>+VLOOKUP(A1515,'Undivideable Expenses'!$D$104:$AH$201,31,0)</f>
        <v>24463.5</v>
      </c>
      <c r="D1515" s="7">
        <f t="shared" si="394"/>
        <v>4.4964947779344744</v>
      </c>
      <c r="G1515" s="7">
        <f>+VLOOKUP(A1515,'Undivideable Expenses'!D$104:AG$201,30,0)</f>
        <v>3936.63</v>
      </c>
      <c r="H1515" s="7">
        <f t="shared" si="395"/>
        <v>177.0103623766019</v>
      </c>
    </row>
    <row r="1516" spans="1:8" x14ac:dyDescent="0.25">
      <c r="A1516" s="6">
        <v>45925</v>
      </c>
      <c r="B1516">
        <v>1980</v>
      </c>
      <c r="C1516">
        <f>+VLOOKUP(A1516,'Undivideable Expenses'!$D$104:$AH$201,31,0)</f>
        <v>24938.75</v>
      </c>
      <c r="D1516" s="7">
        <f t="shared" si="394"/>
        <v>7.9394516565585684</v>
      </c>
      <c r="G1516" s="7">
        <f>+VLOOKUP(A1516,'Undivideable Expenses'!D$104:AG$201,30,0)</f>
        <v>3941.13</v>
      </c>
      <c r="H1516" s="7">
        <f t="shared" si="395"/>
        <v>312.90411107212674</v>
      </c>
    </row>
    <row r="1517" spans="1:8" x14ac:dyDescent="0.25">
      <c r="A1517" s="6">
        <v>45926</v>
      </c>
      <c r="B1517">
        <v>6168.8110902255639</v>
      </c>
      <c r="C1517">
        <f>+VLOOKUP(A1517,'Undivideable Expenses'!$D$104:$AH$201,31,0)</f>
        <v>24910.49</v>
      </c>
      <c r="D1517" s="7">
        <f t="shared" si="394"/>
        <v>24.763909060903917</v>
      </c>
      <c r="G1517" s="7">
        <f>+VLOOKUP(A1517,'Undivideable Expenses'!D$104:AG$201,30,0)</f>
        <v>3930.78</v>
      </c>
      <c r="H1517" s="7">
        <f t="shared" si="395"/>
        <v>973.41478458419897</v>
      </c>
    </row>
    <row r="1518" spans="1:8" x14ac:dyDescent="0.25">
      <c r="A1518" s="6">
        <v>45927</v>
      </c>
      <c r="B1518">
        <v>1879.3756093902348</v>
      </c>
      <c r="C1518">
        <f>+VLOOKUP(A1518,'Undivideable Expenses'!$D$104:$AH$201,31,0)</f>
        <v>20695.939999999999</v>
      </c>
      <c r="D1518" s="7">
        <f t="shared" si="394"/>
        <v>9.0808903069405638</v>
      </c>
      <c r="G1518" s="7">
        <f>+VLOOKUP(A1518,'Undivideable Expenses'!D$104:AG$201,30,0)</f>
        <v>3031.71</v>
      </c>
      <c r="H1518" s="7">
        <f t="shared" si="395"/>
        <v>275.30625952454778</v>
      </c>
    </row>
    <row r="1519" spans="1:8" x14ac:dyDescent="0.25">
      <c r="A1519" s="6">
        <v>45929</v>
      </c>
      <c r="B1519">
        <v>462.5</v>
      </c>
      <c r="C1519">
        <f>+VLOOKUP(A1519,'Undivideable Expenses'!$D$104:$AH$201,31,0)</f>
        <v>23047.47</v>
      </c>
      <c r="D1519" s="7">
        <f t="shared" si="394"/>
        <v>2.0067278534259945</v>
      </c>
      <c r="G1519" s="7">
        <f>+VLOOKUP(A1519,'Undivideable Expenses'!D$104:AG$201,30,0)</f>
        <v>3932.92</v>
      </c>
      <c r="H1519" s="7">
        <f t="shared" si="395"/>
        <v>78.923001092961627</v>
      </c>
    </row>
    <row r="1520" spans="1:8" x14ac:dyDescent="0.25">
      <c r="A1520" s="6">
        <v>45930</v>
      </c>
      <c r="B1520">
        <v>431.25</v>
      </c>
      <c r="C1520">
        <f>+VLOOKUP(A1520,'Undivideable Expenses'!$D$104:$AH$201,31,0)</f>
        <v>17926.25</v>
      </c>
      <c r="D1520" s="7">
        <f t="shared" si="394"/>
        <v>2.4056899797782583</v>
      </c>
      <c r="G1520" s="7">
        <f>+VLOOKUP(A1520,'Undivideable Expenses'!D$104:AG$201,30,0)</f>
        <v>3020.61</v>
      </c>
      <c r="H1520" s="7">
        <f t="shared" si="395"/>
        <v>72.66651209818005</v>
      </c>
    </row>
    <row r="1521" spans="1:8" x14ac:dyDescent="0.25">
      <c r="A1521" s="6">
        <v>45931</v>
      </c>
      <c r="B1521">
        <v>365</v>
      </c>
      <c r="C1521">
        <f>+VLOOKUP(A1521,'Undivideable Expenses'!$D$104:$AH$201,31,0)</f>
        <v>19960</v>
      </c>
      <c r="D1521" s="7">
        <f t="shared" si="394"/>
        <v>1.8286573146292586</v>
      </c>
      <c r="G1521" s="7">
        <f>+VLOOKUP(A1521,'Undivideable Expenses'!D$104:AG$201,30,0)</f>
        <v>3837.6094117647058</v>
      </c>
      <c r="H1521" s="7">
        <f t="shared" si="395"/>
        <v>70.176725215136159</v>
      </c>
    </row>
    <row r="1522" spans="1:8" x14ac:dyDescent="0.25">
      <c r="A1522" s="6">
        <v>45932</v>
      </c>
      <c r="B1522">
        <v>1157.5</v>
      </c>
      <c r="C1522">
        <f>+VLOOKUP(A1522,'Undivideable Expenses'!$D$104:$AH$201,31,0)</f>
        <v>22645.63</v>
      </c>
      <c r="D1522" s="7">
        <f t="shared" si="394"/>
        <v>5.1113614414789961</v>
      </c>
      <c r="G1522" s="7">
        <f>+VLOOKUP(A1522,'Undivideable Expenses'!D$104:AG$201,30,0)</f>
        <v>3203.2896078431372</v>
      </c>
      <c r="H1522" s="7">
        <f t="shared" si="395"/>
        <v>163.73170987419786</v>
      </c>
    </row>
    <row r="1523" spans="1:8" x14ac:dyDescent="0.25">
      <c r="A1523" s="6">
        <v>45933</v>
      </c>
      <c r="B1523">
        <v>4450</v>
      </c>
      <c r="C1523">
        <f>+VLOOKUP(A1523,'Undivideable Expenses'!$D$104:$AH$201,31,0)</f>
        <v>18936.25</v>
      </c>
      <c r="D1523" s="7">
        <f t="shared" si="394"/>
        <v>23.499900983563272</v>
      </c>
      <c r="G1523" s="7">
        <f>+VLOOKUP(A1523,'Undivideable Expenses'!D$104:AG$201,30,0)</f>
        <v>3840.6227450980391</v>
      </c>
      <c r="H1523" s="7">
        <f t="shared" si="395"/>
        <v>902.54254225024874</v>
      </c>
    </row>
    <row r="1524" spans="1:8" x14ac:dyDescent="0.25">
      <c r="A1524" s="6">
        <v>45934</v>
      </c>
      <c r="B1524">
        <v>3182.5</v>
      </c>
      <c r="C1524">
        <f>+VLOOKUP(A1524,'Undivideable Expenses'!$D$104:$AH$201,31,0)</f>
        <v>21914.38</v>
      </c>
      <c r="D1524" s="7">
        <f t="shared" si="394"/>
        <v>14.52242773922876</v>
      </c>
      <c r="G1524" s="7">
        <f>+VLOOKUP(A1524,'Undivideable Expenses'!D$104:AG$201,30,0)</f>
        <v>3754.773333333334</v>
      </c>
      <c r="H1524" s="7">
        <f t="shared" si="395"/>
        <v>545.28424410516448</v>
      </c>
    </row>
    <row r="1525" spans="1:8" x14ac:dyDescent="0.25">
      <c r="A1525" s="6">
        <v>45935</v>
      </c>
      <c r="B1525">
        <v>610</v>
      </c>
      <c r="C1525">
        <f>+VLOOKUP(A1525,'Undivideable Expenses'!$D$104:$AH$201,31,0)</f>
        <v>16911.900000000001</v>
      </c>
      <c r="D1525" s="7">
        <f t="shared" si="394"/>
        <v>3.6069276663177998</v>
      </c>
      <c r="G1525" s="7">
        <f>+VLOOKUP(A1525,'Undivideable Expenses'!D$104:AG$201,30,0)</f>
        <v>2248.4699999999998</v>
      </c>
      <c r="H1525" s="7">
        <f t="shared" si="395"/>
        <v>81.100686498855822</v>
      </c>
    </row>
    <row r="1526" spans="1:8" x14ac:dyDescent="0.25">
      <c r="A1526" s="6">
        <v>45936</v>
      </c>
      <c r="B1526">
        <v>1137.5</v>
      </c>
      <c r="C1526">
        <f>+VLOOKUP(A1526,'Undivideable Expenses'!$D$104:$AH$201,31,0)</f>
        <v>17012.5</v>
      </c>
      <c r="D1526" s="7">
        <f t="shared" si="394"/>
        <v>6.6862601028655408</v>
      </c>
      <c r="G1526" s="7">
        <f>+VLOOKUP(A1526,'Undivideable Expenses'!D$104:AG$201,30,0)</f>
        <v>2950.3319607843141</v>
      </c>
      <c r="H1526" s="7">
        <f t="shared" si="395"/>
        <v>197.2668687960122</v>
      </c>
    </row>
    <row r="1527" spans="1:8" x14ac:dyDescent="0.25">
      <c r="A1527" s="6">
        <v>45937</v>
      </c>
      <c r="B1527">
        <v>460</v>
      </c>
      <c r="C1527">
        <f>+VLOOKUP(A1527,'Undivideable Expenses'!$D$104:$AH$201,31,0)</f>
        <v>21800</v>
      </c>
      <c r="D1527" s="7">
        <f t="shared" si="394"/>
        <v>2.1100917431192663</v>
      </c>
      <c r="G1527" s="7">
        <f>+VLOOKUP(A1527,'Undivideable Expenses'!D$104:AG$201,30,0)</f>
        <v>3333.5290196078427</v>
      </c>
      <c r="H1527" s="7">
        <f t="shared" si="395"/>
        <v>70.340520597229713</v>
      </c>
    </row>
    <row r="1528" spans="1:8" x14ac:dyDescent="0.25">
      <c r="A1528" s="6">
        <v>45938</v>
      </c>
      <c r="B1528">
        <v>2859.375</v>
      </c>
      <c r="C1528">
        <f>+VLOOKUP(A1528,'Undivideable Expenses'!$D$104:$AH$201,31,0)</f>
        <v>22083.14</v>
      </c>
      <c r="D1528" s="7">
        <f t="shared" si="394"/>
        <v>12.948226565606161</v>
      </c>
      <c r="G1528" s="7">
        <f>+VLOOKUP(A1528,'Undivideable Expenses'!D$104:AG$201,30,0)</f>
        <v>3614.8539215686278</v>
      </c>
      <c r="H1528" s="7">
        <f t="shared" si="395"/>
        <v>468.05947578040514</v>
      </c>
    </row>
    <row r="1529" spans="1:8" x14ac:dyDescent="0.25">
      <c r="A1529" s="6">
        <v>45939</v>
      </c>
      <c r="B1529">
        <v>2392.5</v>
      </c>
      <c r="C1529">
        <f>+VLOOKUP(A1529,'Undivideable Expenses'!$D$104:$AH$201,31,0)</f>
        <v>22478.76</v>
      </c>
      <c r="D1529" s="7">
        <f t="shared" si="394"/>
        <v>10.643380684699691</v>
      </c>
      <c r="G1529" s="7">
        <f>+VLOOKUP(A1529,'Undivideable Expenses'!D$104:AG$201,30,0)</f>
        <v>3445.8135294117646</v>
      </c>
      <c r="H1529" s="7">
        <f t="shared" si="395"/>
        <v>366.75105162018048</v>
      </c>
    </row>
    <row r="1530" spans="1:8" x14ac:dyDescent="0.25">
      <c r="A1530" s="6">
        <v>45940</v>
      </c>
      <c r="B1530">
        <v>3111.2575018754687</v>
      </c>
      <c r="C1530">
        <f>+VLOOKUP(A1530,'Undivideable Expenses'!$D$104:$AH$201,31,0)</f>
        <v>17545</v>
      </c>
      <c r="D1530" s="7">
        <f t="shared" si="394"/>
        <v>17.733015114707715</v>
      </c>
      <c r="G1530" s="7">
        <f>+VLOOKUP(A1530,'Undivideable Expenses'!D$104:AG$201,30,0)</f>
        <v>2817.1815686274508</v>
      </c>
      <c r="H1530" s="7">
        <f t="shared" si="395"/>
        <v>499.57123337346582</v>
      </c>
    </row>
    <row r="1531" spans="1:8" x14ac:dyDescent="0.25">
      <c r="A1531" s="6">
        <v>45941</v>
      </c>
      <c r="B1531">
        <v>4570</v>
      </c>
      <c r="C1531">
        <f>+VLOOKUP(A1531,'Undivideable Expenses'!$D$104:$AH$201,31,0)</f>
        <v>19220</v>
      </c>
      <c r="D1531" s="7">
        <f t="shared" si="394"/>
        <v>23.777315296566076</v>
      </c>
      <c r="G1531" s="7">
        <f>+VLOOKUP(A1531,'Undivideable Expenses'!D$104:AG$201,30,0)</f>
        <v>3711.4678431372545</v>
      </c>
      <c r="H1531" s="7">
        <f t="shared" si="395"/>
        <v>882.48741119340548</v>
      </c>
    </row>
    <row r="1532" spans="1:8" x14ac:dyDescent="0.25">
      <c r="A1532" s="6">
        <v>45943</v>
      </c>
      <c r="B1532">
        <v>320</v>
      </c>
      <c r="C1532">
        <f>+VLOOKUP(A1532,'Undivideable Expenses'!$D$104:$AH$201,31,0)</f>
        <v>16090</v>
      </c>
      <c r="D1532" s="7">
        <f t="shared" si="394"/>
        <v>1.9888129272840271</v>
      </c>
      <c r="G1532" s="7">
        <f>+VLOOKUP(A1532,'Undivideable Expenses'!D$104:AG$201,30,0)</f>
        <v>4156.0586274509806</v>
      </c>
      <c r="H1532" s="7">
        <f t="shared" si="395"/>
        <v>82.656231248248204</v>
      </c>
    </row>
    <row r="1533" spans="1:8" x14ac:dyDescent="0.25">
      <c r="A1533" s="6">
        <v>45944</v>
      </c>
      <c r="B1533">
        <v>622.5</v>
      </c>
      <c r="C1533">
        <f>+VLOOKUP(A1533,'Undivideable Expenses'!$D$104:$AH$201,31,0)</f>
        <v>15526.25</v>
      </c>
      <c r="D1533" s="7">
        <f t="shared" si="394"/>
        <v>4.009339022622977</v>
      </c>
      <c r="G1533" s="7">
        <f>+VLOOKUP(A1533,'Undivideable Expenses'!D$104:AG$201,30,0)</f>
        <v>3114.9388235294118</v>
      </c>
      <c r="H1533" s="7">
        <f t="shared" si="395"/>
        <v>124.88845778259778</v>
      </c>
    </row>
    <row r="1534" spans="1:8" x14ac:dyDescent="0.25">
      <c r="A1534" s="6">
        <v>45945</v>
      </c>
      <c r="B1534">
        <v>963.75</v>
      </c>
      <c r="C1534">
        <f>+VLOOKUP(A1534,'Undivideable Expenses'!$D$104:$AH$201,31,0)</f>
        <v>15747.5</v>
      </c>
      <c r="D1534" s="7">
        <f t="shared" si="394"/>
        <v>6.1200190506429593</v>
      </c>
      <c r="G1534" s="7">
        <f>+VLOOKUP(A1534,'Undivideable Expenses'!D$104:AG$201,30,0)</f>
        <v>3951.51431372549</v>
      </c>
      <c r="H1534" s="7">
        <f t="shared" si="395"/>
        <v>241.8334287888834</v>
      </c>
    </row>
    <row r="1535" spans="1:8" x14ac:dyDescent="0.25">
      <c r="A1535" s="6">
        <v>45946</v>
      </c>
      <c r="B1535">
        <v>1270</v>
      </c>
      <c r="C1535">
        <f>+VLOOKUP(A1535,'Undivideable Expenses'!$D$104:$AH$201,31,0)</f>
        <v>15233.76</v>
      </c>
      <c r="D1535" s="7">
        <f t="shared" si="394"/>
        <v>8.3367468044658715</v>
      </c>
      <c r="G1535" s="7">
        <f>+VLOOKUP(A1535,'Undivideable Expenses'!D$104:AG$201,30,0)</f>
        <v>3988.4435294117652</v>
      </c>
      <c r="H1535" s="7">
        <f t="shared" si="395"/>
        <v>332.50643848616113</v>
      </c>
    </row>
    <row r="1536" spans="1:8" x14ac:dyDescent="0.25">
      <c r="A1536" s="6">
        <v>45947</v>
      </c>
      <c r="B1536">
        <v>3207.5084396099028</v>
      </c>
      <c r="C1536">
        <f>+VLOOKUP(A1536,'Undivideable Expenses'!$D$104:$AH$201,31,0)</f>
        <v>15503.76</v>
      </c>
      <c r="D1536" s="7">
        <f t="shared" si="394"/>
        <v>20.688584186093586</v>
      </c>
      <c r="G1536" s="7">
        <f>+VLOOKUP(A1536,'Undivideable Expenses'!D$104:AG$201,30,0)</f>
        <v>3948.3239215686281</v>
      </c>
      <c r="H1536" s="7">
        <f t="shared" si="395"/>
        <v>816.85231845339729</v>
      </c>
    </row>
    <row r="1537" spans="1:8" x14ac:dyDescent="0.25">
      <c r="A1537" s="6">
        <v>45948</v>
      </c>
      <c r="B1537">
        <v>1973.75</v>
      </c>
      <c r="C1537">
        <f>+VLOOKUP(A1537,'Undivideable Expenses'!$D$104:$AH$201,31,0)</f>
        <v>14001.88</v>
      </c>
      <c r="D1537" s="7">
        <f t="shared" si="394"/>
        <v>14.096321351132849</v>
      </c>
      <c r="G1537" s="7">
        <f>+VLOOKUP(A1537,'Undivideable Expenses'!D$104:AG$201,30,0)</f>
        <v>3462.9003921568628</v>
      </c>
      <c r="H1537" s="7">
        <f t="shared" si="395"/>
        <v>488.14156734807096</v>
      </c>
    </row>
    <row r="1538" spans="1:8" x14ac:dyDescent="0.25">
      <c r="A1538" s="6">
        <v>45952</v>
      </c>
      <c r="B1538">
        <v>808.75</v>
      </c>
      <c r="D1538" s="7"/>
      <c r="G1538" s="7"/>
      <c r="H1538" s="7"/>
    </row>
    <row r="1540" spans="1:8" x14ac:dyDescent="0.25">
      <c r="A1540" t="s">
        <v>274</v>
      </c>
    </row>
    <row r="1541" spans="1:8" x14ac:dyDescent="0.25">
      <c r="A1541" s="8" t="s">
        <v>6</v>
      </c>
      <c r="B1541" s="8" t="s">
        <v>273</v>
      </c>
      <c r="C1541" s="22" t="s">
        <v>50</v>
      </c>
      <c r="D1541" s="22" t="s">
        <v>9</v>
      </c>
    </row>
    <row r="1542" spans="1:8" x14ac:dyDescent="0.25">
      <c r="A1542" s="6">
        <v>45910</v>
      </c>
      <c r="B1542" s="12">
        <v>176.25</v>
      </c>
      <c r="C1542">
        <f>+VLOOKUP(A1542,'Undivideable Expenses'!$D$104:$AH$201,31,0)</f>
        <v>25830.799999999999</v>
      </c>
      <c r="D1542" s="7">
        <f t="shared" ref="D1542" si="396">+B1542/C1542*100</f>
        <v>0.68232497638478096</v>
      </c>
      <c r="G1542" s="7">
        <f>+VLOOKUP(A1542,'Undivideable Expenses'!D$104:AG$201,30,0)</f>
        <v>4179.7700000000004</v>
      </c>
      <c r="H1542" s="7">
        <f t="shared" ref="H1542" si="397">+G1542/100*D1542</f>
        <v>28.519614665438162</v>
      </c>
    </row>
    <row r="1543" spans="1:8" x14ac:dyDescent="0.25">
      <c r="A1543" s="6">
        <v>45911</v>
      </c>
      <c r="B1543" s="12">
        <v>2848.75</v>
      </c>
      <c r="C1543">
        <f>+VLOOKUP(A1543,'Undivideable Expenses'!$D$104:$AH$201,31,0)</f>
        <v>26752.45</v>
      </c>
      <c r="D1543" s="7">
        <f t="shared" ref="D1543:D1546" si="398">+B1543/C1543*100</f>
        <v>10.648557421843606</v>
      </c>
      <c r="G1543" s="7">
        <f>+VLOOKUP(A1543,'Undivideable Expenses'!D$104:AG$201,30,0)</f>
        <v>4547.96</v>
      </c>
      <c r="H1543" s="7">
        <f t="shared" ref="H1543:H1546" si="399">+G1543/100*D1543</f>
        <v>484.29213212247845</v>
      </c>
    </row>
    <row r="1544" spans="1:8" x14ac:dyDescent="0.25">
      <c r="A1544" s="6">
        <v>45912</v>
      </c>
      <c r="B1544" s="12">
        <v>3511.25</v>
      </c>
      <c r="C1544">
        <f>+VLOOKUP(A1544,'Undivideable Expenses'!$D$104:$AH$201,31,0)</f>
        <v>25098.19</v>
      </c>
      <c r="D1544" s="7">
        <f t="shared" si="398"/>
        <v>13.990052669136698</v>
      </c>
      <c r="G1544" s="7">
        <f>+VLOOKUP(A1544,'Undivideable Expenses'!D$104:AG$201,30,0)</f>
        <v>4596.2699999999995</v>
      </c>
      <c r="H1544" s="7">
        <f t="shared" si="399"/>
        <v>643.02059381572928</v>
      </c>
    </row>
    <row r="1545" spans="1:8" x14ac:dyDescent="0.25">
      <c r="A1545" s="6">
        <v>45913</v>
      </c>
      <c r="B1545" s="12">
        <v>3571.25</v>
      </c>
      <c r="C1545">
        <f>+VLOOKUP(A1545,'Undivideable Expenses'!$D$104:$AH$201,31,0)</f>
        <v>23180.7</v>
      </c>
      <c r="D1545" s="7">
        <f t="shared" si="398"/>
        <v>15.406135276329014</v>
      </c>
      <c r="G1545" s="7">
        <f>+VLOOKUP(A1545,'Undivideable Expenses'!D$104:AG$201,30,0)</f>
        <v>3633.71</v>
      </c>
      <c r="H1545" s="7">
        <f t="shared" si="399"/>
        <v>559.81427814949495</v>
      </c>
    </row>
    <row r="1546" spans="1:8" x14ac:dyDescent="0.25">
      <c r="A1546" s="6">
        <v>45915</v>
      </c>
      <c r="B1546" s="12">
        <v>1548.75</v>
      </c>
      <c r="C1546">
        <f>+VLOOKUP(A1546,'Undivideable Expenses'!$D$104:$AH$201,31,0)</f>
        <v>26345.4</v>
      </c>
      <c r="D1546" s="7">
        <f t="shared" si="398"/>
        <v>5.8786353594934972</v>
      </c>
      <c r="G1546" s="7">
        <f>+VLOOKUP(A1546,'Undivideable Expenses'!D$104:AG$201,30,0)</f>
        <v>4497.5</v>
      </c>
      <c r="H1546" s="7">
        <f t="shared" si="399"/>
        <v>264.39162529322005</v>
      </c>
    </row>
    <row r="1548" spans="1:8" x14ac:dyDescent="0.25">
      <c r="A1548" t="s">
        <v>276</v>
      </c>
    </row>
    <row r="1549" spans="1:8" x14ac:dyDescent="0.25">
      <c r="A1549" s="8" t="s">
        <v>6</v>
      </c>
      <c r="B1549" s="8" t="s">
        <v>275</v>
      </c>
      <c r="C1549" s="22" t="s">
        <v>50</v>
      </c>
      <c r="D1549" s="22" t="s">
        <v>9</v>
      </c>
    </row>
    <row r="1550" spans="1:8" x14ac:dyDescent="0.25">
      <c r="A1550" s="6">
        <v>45911</v>
      </c>
      <c r="B1550" s="7">
        <v>1563.8721804511279</v>
      </c>
      <c r="C1550">
        <f>+VLOOKUP(A1550,'Undivideable Expenses'!$D$104:$AH$201,31,0)</f>
        <v>26752.45</v>
      </c>
      <c r="D1550" s="7">
        <f t="shared" ref="D1550" si="400">+B1550/C1550*100</f>
        <v>5.8457157398710313</v>
      </c>
      <c r="G1550" s="7">
        <f>+VLOOKUP(A1550,'Undivideable Expenses'!D$104:AG$201,30,0)</f>
        <v>4547.96</v>
      </c>
      <c r="H1550" s="7">
        <f t="shared" ref="H1550" si="401">+G1550/100*D1550</f>
        <v>265.86081356303856</v>
      </c>
    </row>
    <row r="1551" spans="1:8" x14ac:dyDescent="0.25">
      <c r="A1551" s="6">
        <v>45912</v>
      </c>
      <c r="B1551" s="7">
        <v>612.5</v>
      </c>
      <c r="C1551">
        <f>+VLOOKUP(A1551,'Undivideable Expenses'!$D$104:$AH$201,31,0)</f>
        <v>25098.19</v>
      </c>
      <c r="D1551" s="7">
        <f t="shared" ref="D1551:D1564" si="402">+B1551/C1551*100</f>
        <v>2.4404150259441022</v>
      </c>
      <c r="G1551" s="7">
        <f>+VLOOKUP(A1551,'Undivideable Expenses'!D$104:AG$201,30,0)</f>
        <v>4596.2699999999995</v>
      </c>
      <c r="H1551" s="7">
        <f t="shared" ref="H1551:H1564" si="403">+G1551/100*D1551</f>
        <v>112.16806371296099</v>
      </c>
    </row>
    <row r="1552" spans="1:8" x14ac:dyDescent="0.25">
      <c r="A1552" s="6">
        <v>45913</v>
      </c>
      <c r="B1552" s="7">
        <v>1075</v>
      </c>
      <c r="C1552">
        <f>+VLOOKUP(A1552,'Undivideable Expenses'!$D$104:$AH$201,31,0)</f>
        <v>23180.7</v>
      </c>
      <c r="D1552" s="7">
        <f t="shared" si="402"/>
        <v>4.6374785921046389</v>
      </c>
      <c r="G1552" s="7">
        <f>+VLOOKUP(A1552,'Undivideable Expenses'!D$104:AG$201,30,0)</f>
        <v>3633.71</v>
      </c>
      <c r="H1552" s="7">
        <f t="shared" si="403"/>
        <v>168.51252334916546</v>
      </c>
    </row>
    <row r="1553" spans="1:8" x14ac:dyDescent="0.25">
      <c r="A1553" s="6">
        <v>45915</v>
      </c>
      <c r="B1553" s="7">
        <v>137.5</v>
      </c>
      <c r="C1553">
        <f>+VLOOKUP(A1553,'Undivideable Expenses'!$D$104:$AH$201,31,0)</f>
        <v>26345.4</v>
      </c>
      <c r="D1553" s="7">
        <f t="shared" si="402"/>
        <v>0.52191274378069796</v>
      </c>
      <c r="G1553" s="7">
        <f>+VLOOKUP(A1553,'Undivideable Expenses'!D$104:AG$201,30,0)</f>
        <v>4497.5</v>
      </c>
      <c r="H1553" s="7">
        <f t="shared" si="403"/>
        <v>23.47302565153689</v>
      </c>
    </row>
    <row r="1554" spans="1:8" x14ac:dyDescent="0.25">
      <c r="A1554" s="6">
        <v>45922</v>
      </c>
      <c r="B1554" s="7">
        <v>907.5</v>
      </c>
      <c r="C1554">
        <f>+VLOOKUP(A1554,'Undivideable Expenses'!$D$104:$AH$201,31,0)</f>
        <v>23698.75</v>
      </c>
      <c r="D1554" s="7">
        <f t="shared" si="402"/>
        <v>3.8293158921884061</v>
      </c>
      <c r="G1554" s="7">
        <f>+VLOOKUP(A1554,'Undivideable Expenses'!D$104:AG$201,30,0)</f>
        <v>4528.6099999999997</v>
      </c>
      <c r="H1554" s="7">
        <f t="shared" si="403"/>
        <v>173.41478242523337</v>
      </c>
    </row>
    <row r="1555" spans="1:8" x14ac:dyDescent="0.25">
      <c r="A1555" s="6">
        <v>45923</v>
      </c>
      <c r="B1555" s="7">
        <v>770</v>
      </c>
      <c r="C1555">
        <f>+VLOOKUP(A1555,'Undivideable Expenses'!$D$104:$AH$201,31,0)</f>
        <v>24436.93</v>
      </c>
      <c r="D1555" s="7">
        <f t="shared" si="402"/>
        <v>3.1509686364040004</v>
      </c>
      <c r="G1555" s="7">
        <f>+VLOOKUP(A1555,'Undivideable Expenses'!D$104:AG$201,30,0)</f>
        <v>4508.97</v>
      </c>
      <c r="H1555" s="7">
        <f t="shared" si="403"/>
        <v>142.07623052486545</v>
      </c>
    </row>
    <row r="1556" spans="1:8" x14ac:dyDescent="0.25">
      <c r="A1556" s="6">
        <v>45924</v>
      </c>
      <c r="B1556" s="7">
        <v>782.24624060150381</v>
      </c>
      <c r="C1556">
        <f>+VLOOKUP(A1556,'Undivideable Expenses'!$D$104:$AH$201,31,0)</f>
        <v>24463.5</v>
      </c>
      <c r="D1556" s="7">
        <f t="shared" si="402"/>
        <v>3.1976055781123049</v>
      </c>
      <c r="G1556" s="7">
        <f>+VLOOKUP(A1556,'Undivideable Expenses'!D$104:AG$201,30,0)</f>
        <v>3936.63</v>
      </c>
      <c r="H1556" s="7">
        <f t="shared" si="403"/>
        <v>125.87790046964244</v>
      </c>
    </row>
    <row r="1557" spans="1:8" x14ac:dyDescent="0.25">
      <c r="A1557" s="6">
        <v>45925</v>
      </c>
      <c r="B1557" s="7">
        <v>1195</v>
      </c>
      <c r="C1557">
        <f>+VLOOKUP(A1557,'Undivideable Expenses'!$D$104:$AH$201,31,0)</f>
        <v>24938.75</v>
      </c>
      <c r="D1557" s="7">
        <f t="shared" si="402"/>
        <v>4.7917397624179241</v>
      </c>
      <c r="G1557" s="7">
        <f>+VLOOKUP(A1557,'Undivideable Expenses'!D$104:AG$201,30,0)</f>
        <v>3941.13</v>
      </c>
      <c r="H1557" s="7">
        <f t="shared" si="403"/>
        <v>188.84869329858157</v>
      </c>
    </row>
    <row r="1558" spans="1:8" x14ac:dyDescent="0.25">
      <c r="A1558" s="6">
        <v>45926</v>
      </c>
      <c r="B1558" s="7">
        <v>1113.75</v>
      </c>
      <c r="C1558">
        <f>+VLOOKUP(A1558,'Undivideable Expenses'!$D$104:$AH$201,31,0)</f>
        <v>24910.49</v>
      </c>
      <c r="D1558" s="7">
        <f t="shared" si="402"/>
        <v>4.4710079970325749</v>
      </c>
      <c r="G1558" s="7">
        <f>+VLOOKUP(A1558,'Undivideable Expenses'!D$104:AG$201,30,0)</f>
        <v>3930.78</v>
      </c>
      <c r="H1558" s="7">
        <f t="shared" si="403"/>
        <v>175.74548814575704</v>
      </c>
    </row>
    <row r="1559" spans="1:8" x14ac:dyDescent="0.25">
      <c r="A1559" s="6">
        <v>45927</v>
      </c>
      <c r="B1559" s="7">
        <v>2903.75</v>
      </c>
      <c r="C1559">
        <f>+VLOOKUP(A1559,'Undivideable Expenses'!$D$104:$AH$201,31,0)</f>
        <v>20695.939999999999</v>
      </c>
      <c r="D1559" s="7">
        <f t="shared" si="402"/>
        <v>14.030529659440452</v>
      </c>
      <c r="G1559" s="7">
        <f>+VLOOKUP(A1559,'Undivideable Expenses'!D$104:AG$201,30,0)</f>
        <v>3031.71</v>
      </c>
      <c r="H1559" s="7">
        <f t="shared" si="403"/>
        <v>425.36497073822215</v>
      </c>
    </row>
    <row r="1560" spans="1:8" x14ac:dyDescent="0.25">
      <c r="A1560" s="6">
        <v>45929</v>
      </c>
      <c r="B1560" s="7">
        <v>4081.2350074962519</v>
      </c>
      <c r="C1560">
        <f>+VLOOKUP(A1560,'Undivideable Expenses'!$D$104:$AH$201,31,0)</f>
        <v>23047.47</v>
      </c>
      <c r="D1560" s="7">
        <f t="shared" si="402"/>
        <v>17.707952358745889</v>
      </c>
      <c r="G1560" s="7">
        <f>+VLOOKUP(A1560,'Undivideable Expenses'!D$104:AG$201,30,0)</f>
        <v>3932.92</v>
      </c>
      <c r="H1560" s="7">
        <f t="shared" si="403"/>
        <v>696.43959990758879</v>
      </c>
    </row>
    <row r="1561" spans="1:8" x14ac:dyDescent="0.25">
      <c r="A1561" s="6">
        <v>45930</v>
      </c>
      <c r="B1561" s="7">
        <v>2225</v>
      </c>
      <c r="C1561">
        <f>+VLOOKUP(A1561,'Undivideable Expenses'!$D$104:$AH$201,31,0)</f>
        <v>17926.25</v>
      </c>
      <c r="D1561" s="7">
        <f t="shared" si="402"/>
        <v>12.411965692768984</v>
      </c>
      <c r="G1561" s="7">
        <f>+VLOOKUP(A1561,'Undivideable Expenses'!D$104:AG$201,30,0)</f>
        <v>3020.61</v>
      </c>
      <c r="H1561" s="7">
        <f t="shared" si="403"/>
        <v>374.91707691234922</v>
      </c>
    </row>
    <row r="1562" spans="1:8" x14ac:dyDescent="0.25">
      <c r="A1562" s="6">
        <v>45931</v>
      </c>
      <c r="B1562" s="7">
        <v>120</v>
      </c>
      <c r="C1562">
        <f>+VLOOKUP(A1562,'Undivideable Expenses'!$D$104:$AH$201,31,0)</f>
        <v>19960</v>
      </c>
      <c r="D1562" s="7">
        <f t="shared" si="402"/>
        <v>0.60120240480961928</v>
      </c>
      <c r="G1562" s="7">
        <f>+VLOOKUP(A1562,'Undivideable Expenses'!D$104:AG$201,30,0)</f>
        <v>3837.6094117647058</v>
      </c>
      <c r="H1562" s="7">
        <f t="shared" si="403"/>
        <v>23.071800070729694</v>
      </c>
    </row>
    <row r="1563" spans="1:8" x14ac:dyDescent="0.25">
      <c r="A1563" s="6">
        <v>45936</v>
      </c>
      <c r="B1563" s="7">
        <v>220</v>
      </c>
      <c r="C1563">
        <f>+VLOOKUP(A1563,'Undivideable Expenses'!$D$104:$AH$201,31,0)</f>
        <v>17012.5</v>
      </c>
      <c r="D1563" s="7">
        <f t="shared" si="402"/>
        <v>1.2931667891256429</v>
      </c>
      <c r="G1563" s="7">
        <f>+VLOOKUP(A1563,'Undivideable Expenses'!D$104:AG$201,30,0)</f>
        <v>2950.3319607843141</v>
      </c>
      <c r="H1563" s="7">
        <f t="shared" si="403"/>
        <v>38.152713085822135</v>
      </c>
    </row>
    <row r="1564" spans="1:8" x14ac:dyDescent="0.25">
      <c r="A1564" s="6">
        <v>45937</v>
      </c>
      <c r="B1564" s="7">
        <v>55</v>
      </c>
      <c r="C1564">
        <f>+VLOOKUP(A1564,'Undivideable Expenses'!$D$104:$AH$201,31,0)</f>
        <v>21800</v>
      </c>
      <c r="D1564" s="7">
        <f t="shared" si="402"/>
        <v>0.25229357798165142</v>
      </c>
      <c r="G1564" s="7">
        <f>+VLOOKUP(A1564,'Undivideable Expenses'!D$104:AG$201,30,0)</f>
        <v>3333.5290196078427</v>
      </c>
      <c r="H1564" s="7">
        <f t="shared" si="403"/>
        <v>8.4102796366252921</v>
      </c>
    </row>
    <row r="1566" spans="1:8" x14ac:dyDescent="0.25">
      <c r="A1566" t="s">
        <v>278</v>
      </c>
    </row>
    <row r="1567" spans="1:8" x14ac:dyDescent="0.25">
      <c r="A1567" s="8" t="s">
        <v>6</v>
      </c>
      <c r="B1567" s="8" t="s">
        <v>277</v>
      </c>
      <c r="C1567" s="22" t="s">
        <v>50</v>
      </c>
      <c r="D1567" s="22" t="s">
        <v>9</v>
      </c>
    </row>
    <row r="1568" spans="1:8" x14ac:dyDescent="0.25">
      <c r="A1568" s="6">
        <v>45913</v>
      </c>
      <c r="B1568">
        <v>93.75</v>
      </c>
      <c r="C1568">
        <f>+VLOOKUP(A1568,'Undivideable Expenses'!$D$104:$AH$201,31,0)</f>
        <v>23180.7</v>
      </c>
      <c r="D1568" s="7">
        <f t="shared" ref="D1568" si="404">+B1568/C1568*100</f>
        <v>0.40443127256726502</v>
      </c>
      <c r="G1568" s="7">
        <f>+VLOOKUP(A1568,'Undivideable Expenses'!D$104:AG$201,30,0)</f>
        <v>3633.71</v>
      </c>
      <c r="H1568" s="7">
        <f t="shared" ref="H1568" si="405">+G1568/100*D1568</f>
        <v>14.695859594403965</v>
      </c>
    </row>
    <row r="1569" spans="1:8" x14ac:dyDescent="0.25">
      <c r="A1569" s="6">
        <v>45915</v>
      </c>
      <c r="B1569">
        <v>562.5</v>
      </c>
      <c r="C1569">
        <f>+VLOOKUP(A1569,'Undivideable Expenses'!$D$104:$AH$201,31,0)</f>
        <v>26345.4</v>
      </c>
      <c r="D1569" s="7">
        <f t="shared" ref="D1569:D1592" si="406">+B1569/C1569*100</f>
        <v>2.1350975881937644</v>
      </c>
      <c r="G1569" s="7">
        <f>+VLOOKUP(A1569,'Undivideable Expenses'!D$104:AG$201,30,0)</f>
        <v>4497.5</v>
      </c>
      <c r="H1569" s="7">
        <f t="shared" ref="H1569:H1593" si="407">+G1569/100*D1569</f>
        <v>96.026014029014561</v>
      </c>
    </row>
    <row r="1570" spans="1:8" x14ac:dyDescent="0.25">
      <c r="A1570" s="6">
        <v>45916</v>
      </c>
      <c r="B1570">
        <v>660</v>
      </c>
      <c r="C1570">
        <f>+VLOOKUP(A1570,'Undivideable Expenses'!$D$104:$AH$201,31,0)</f>
        <v>26795</v>
      </c>
      <c r="D1570" s="7">
        <f t="shared" si="406"/>
        <v>2.463146109348759</v>
      </c>
      <c r="G1570" s="7">
        <f>+VLOOKUP(A1570,'Undivideable Expenses'!D$104:AG$201,30,0)</f>
        <v>4756.51</v>
      </c>
      <c r="H1570" s="7">
        <f t="shared" si="407"/>
        <v>117.15979100578465</v>
      </c>
    </row>
    <row r="1571" spans="1:8" x14ac:dyDescent="0.25">
      <c r="A1571" s="6">
        <v>45917</v>
      </c>
      <c r="B1571">
        <v>328.75</v>
      </c>
      <c r="C1571">
        <f>+VLOOKUP(A1571,'Undivideable Expenses'!$D$104:$AH$201,31,0)</f>
        <v>23606.31</v>
      </c>
      <c r="D1571" s="7">
        <f t="shared" si="406"/>
        <v>1.3926361214438003</v>
      </c>
      <c r="G1571" s="7">
        <f>+VLOOKUP(A1571,'Undivideable Expenses'!D$104:AG$201,30,0)</f>
        <v>4441.4399999999996</v>
      </c>
      <c r="H1571" s="7">
        <f t="shared" si="407"/>
        <v>61.853097752253518</v>
      </c>
    </row>
    <row r="1572" spans="1:8" x14ac:dyDescent="0.25">
      <c r="A1572" s="6">
        <v>45918</v>
      </c>
      <c r="B1572">
        <v>40</v>
      </c>
      <c r="C1572">
        <f>+VLOOKUP(A1572,'Undivideable Expenses'!$D$104:$AH$201,31,0)</f>
        <v>22551.25</v>
      </c>
      <c r="D1572" s="7">
        <f t="shared" si="406"/>
        <v>0.17737375976941411</v>
      </c>
      <c r="G1572" s="7">
        <f>+VLOOKUP(A1572,'Undivideable Expenses'!D$104:AG$201,30,0)</f>
        <v>4633.42</v>
      </c>
      <c r="H1572" s="7">
        <f t="shared" si="407"/>
        <v>8.2184712599079877</v>
      </c>
    </row>
    <row r="1573" spans="1:8" x14ac:dyDescent="0.25">
      <c r="A1573" s="6">
        <v>45922</v>
      </c>
      <c r="B1573">
        <v>428.75</v>
      </c>
      <c r="C1573">
        <f>+VLOOKUP(A1573,'Undivideable Expenses'!$D$104:$AH$201,31,0)</f>
        <v>23698.75</v>
      </c>
      <c r="D1573" s="7">
        <f t="shared" si="406"/>
        <v>1.8091671501661479</v>
      </c>
      <c r="G1573" s="7">
        <f>+VLOOKUP(A1573,'Undivideable Expenses'!D$104:AG$201,30,0)</f>
        <v>4528.6099999999997</v>
      </c>
      <c r="H1573" s="7">
        <f t="shared" si="407"/>
        <v>81.930124479139181</v>
      </c>
    </row>
    <row r="1574" spans="1:8" x14ac:dyDescent="0.25">
      <c r="A1574" s="6">
        <v>45925</v>
      </c>
      <c r="B1574">
        <v>282.5</v>
      </c>
      <c r="C1574">
        <f>+VLOOKUP(A1574,'Undivideable Expenses'!$D$104:$AH$201,31,0)</f>
        <v>24938.75</v>
      </c>
      <c r="D1574" s="7">
        <f t="shared" si="406"/>
        <v>1.1327752994837352</v>
      </c>
      <c r="G1574" s="7">
        <f>+VLOOKUP(A1574,'Undivideable Expenses'!D$104:AG$201,30,0)</f>
        <v>3941.13</v>
      </c>
      <c r="H1574" s="7">
        <f t="shared" si="407"/>
        <v>44.644147160543341</v>
      </c>
    </row>
    <row r="1575" spans="1:8" x14ac:dyDescent="0.25">
      <c r="A1575" s="6">
        <v>45926</v>
      </c>
      <c r="B1575">
        <v>405</v>
      </c>
      <c r="C1575">
        <f>+VLOOKUP(A1575,'Undivideable Expenses'!$D$104:$AH$201,31,0)</f>
        <v>24910.49</v>
      </c>
      <c r="D1575" s="7">
        <f t="shared" si="406"/>
        <v>1.6258210898300274</v>
      </c>
      <c r="G1575" s="7">
        <f>+VLOOKUP(A1575,'Undivideable Expenses'!D$104:AG$201,30,0)</f>
        <v>3930.78</v>
      </c>
      <c r="H1575" s="7">
        <f t="shared" si="407"/>
        <v>63.90745023482075</v>
      </c>
    </row>
    <row r="1576" spans="1:8" x14ac:dyDescent="0.25">
      <c r="A1576" s="6">
        <v>45927</v>
      </c>
      <c r="B1576">
        <v>1087.5</v>
      </c>
      <c r="C1576">
        <f>+VLOOKUP(A1576,'Undivideable Expenses'!$D$104:$AH$201,31,0)</f>
        <v>20695.939999999999</v>
      </c>
      <c r="D1576" s="7">
        <f t="shared" si="406"/>
        <v>5.2546538113272465</v>
      </c>
      <c r="G1576" s="7">
        <f>+VLOOKUP(A1576,'Undivideable Expenses'!D$104:AG$201,30,0)</f>
        <v>3031.71</v>
      </c>
      <c r="H1576" s="7">
        <f t="shared" si="407"/>
        <v>159.30586506338926</v>
      </c>
    </row>
    <row r="1577" spans="1:8" x14ac:dyDescent="0.25">
      <c r="A1577" s="6">
        <v>45929</v>
      </c>
      <c r="B1577">
        <v>1410</v>
      </c>
      <c r="C1577">
        <f>+VLOOKUP(A1577,'Undivideable Expenses'!$D$104:$AH$201,31,0)</f>
        <v>23047.47</v>
      </c>
      <c r="D1577" s="7">
        <f t="shared" si="406"/>
        <v>6.1178081585527604</v>
      </c>
      <c r="G1577" s="7">
        <f>+VLOOKUP(A1577,'Undivideable Expenses'!D$104:AG$201,30,0)</f>
        <v>3932.92</v>
      </c>
      <c r="H1577" s="7">
        <f t="shared" si="407"/>
        <v>240.60850062935322</v>
      </c>
    </row>
    <row r="1578" spans="1:8" x14ac:dyDescent="0.25">
      <c r="A1578" s="6">
        <v>45930</v>
      </c>
      <c r="B1578">
        <v>1918.75</v>
      </c>
      <c r="C1578">
        <f>+VLOOKUP(A1578,'Undivideable Expenses'!$D$104:$AH$201,31,0)</f>
        <v>17926.25</v>
      </c>
      <c r="D1578" s="7">
        <f t="shared" si="406"/>
        <v>10.703577156404714</v>
      </c>
      <c r="G1578" s="7">
        <f>+VLOOKUP(A1578,'Undivideable Expenses'!D$104:AG$201,30,0)</f>
        <v>3020.61</v>
      </c>
      <c r="H1578" s="7">
        <f t="shared" si="407"/>
        <v>323.31332194407645</v>
      </c>
    </row>
    <row r="1579" spans="1:8" x14ac:dyDescent="0.25">
      <c r="A1579" s="6">
        <v>45931</v>
      </c>
      <c r="B1579">
        <v>3046.25</v>
      </c>
      <c r="C1579">
        <f>+VLOOKUP(A1579,'Undivideable Expenses'!$D$104:$AH$201,31,0)</f>
        <v>19960</v>
      </c>
      <c r="D1579" s="7">
        <f t="shared" si="406"/>
        <v>15.261773547094187</v>
      </c>
      <c r="G1579" s="7">
        <f>+VLOOKUP(A1579,'Undivideable Expenses'!D$104:AG$201,30,0)</f>
        <v>3837.6094117647058</v>
      </c>
      <c r="H1579" s="7">
        <f t="shared" si="407"/>
        <v>585.68725804550263</v>
      </c>
    </row>
    <row r="1580" spans="1:8" x14ac:dyDescent="0.25">
      <c r="A1580" s="6">
        <v>45932</v>
      </c>
      <c r="B1580">
        <v>1782.5</v>
      </c>
      <c r="C1580">
        <f>+VLOOKUP(A1580,'Undivideable Expenses'!$D$104:$AH$201,31,0)</f>
        <v>22645.63</v>
      </c>
      <c r="D1580" s="7">
        <f t="shared" si="406"/>
        <v>7.8712758267268343</v>
      </c>
      <c r="G1580" s="7">
        <f>+VLOOKUP(A1580,'Undivideable Expenses'!D$104:AG$201,30,0)</f>
        <v>3203.2896078431372</v>
      </c>
      <c r="H1580" s="7">
        <f t="shared" si="407"/>
        <v>252.13976056220966</v>
      </c>
    </row>
    <row r="1581" spans="1:8" x14ac:dyDescent="0.25">
      <c r="A1581" s="6">
        <v>45933</v>
      </c>
      <c r="B1581">
        <v>655</v>
      </c>
      <c r="C1581">
        <f>+VLOOKUP(A1581,'Undivideable Expenses'!$D$104:$AH$201,31,0)</f>
        <v>18936.25</v>
      </c>
      <c r="D1581" s="7">
        <f t="shared" si="406"/>
        <v>3.4589741897154926</v>
      </c>
      <c r="G1581" s="7">
        <f>+VLOOKUP(A1581,'Undivideable Expenses'!D$104:AG$201,30,0)</f>
        <v>3840.6227450980391</v>
      </c>
      <c r="H1581" s="7">
        <f t="shared" si="407"/>
        <v>132.8461494772838</v>
      </c>
    </row>
    <row r="1582" spans="1:8" x14ac:dyDescent="0.25">
      <c r="A1582" s="6">
        <v>45934</v>
      </c>
      <c r="B1582">
        <v>465</v>
      </c>
      <c r="C1582">
        <f>+VLOOKUP(A1582,'Undivideable Expenses'!$D$104:$AH$201,31,0)</f>
        <v>21914.38</v>
      </c>
      <c r="D1582" s="7">
        <f t="shared" si="406"/>
        <v>2.1218943908064021</v>
      </c>
      <c r="G1582" s="7">
        <f>+VLOOKUP(A1582,'Undivideable Expenses'!D$104:AG$201,30,0)</f>
        <v>3754.773333333334</v>
      </c>
      <c r="H1582" s="7">
        <f t="shared" si="407"/>
        <v>79.672324747494585</v>
      </c>
    </row>
    <row r="1583" spans="1:8" x14ac:dyDescent="0.25">
      <c r="A1583" s="6">
        <v>45936</v>
      </c>
      <c r="B1583">
        <v>82.5</v>
      </c>
      <c r="C1583">
        <f>+VLOOKUP(A1583,'Undivideable Expenses'!$D$104:$AH$201,31,0)</f>
        <v>17012.5</v>
      </c>
      <c r="D1583" s="7">
        <f t="shared" si="406"/>
        <v>0.48493754592211608</v>
      </c>
      <c r="G1583" s="7">
        <f>+VLOOKUP(A1583,'Undivideable Expenses'!D$104:AG$201,30,0)</f>
        <v>2950.3319607843141</v>
      </c>
      <c r="H1583" s="7">
        <f t="shared" si="407"/>
        <v>14.307267407183302</v>
      </c>
    </row>
    <row r="1584" spans="1:8" x14ac:dyDescent="0.25">
      <c r="A1584" s="6">
        <v>45939</v>
      </c>
      <c r="B1584">
        <v>315</v>
      </c>
      <c r="C1584">
        <f>+VLOOKUP(A1584,'Undivideable Expenses'!$D$104:$AH$201,31,0)</f>
        <v>22478.76</v>
      </c>
      <c r="D1584" s="7">
        <f t="shared" si="406"/>
        <v>1.4013228487692382</v>
      </c>
      <c r="G1584" s="7">
        <f>+VLOOKUP(A1584,'Undivideable Expenses'!D$104:AG$201,30,0)</f>
        <v>3445.8135294117646</v>
      </c>
      <c r="H1584" s="7">
        <f t="shared" si="407"/>
        <v>48.286972313628773</v>
      </c>
    </row>
    <row r="1585" spans="1:8" x14ac:dyDescent="0.25">
      <c r="A1585" s="6">
        <v>45940</v>
      </c>
      <c r="B1585">
        <v>945</v>
      </c>
      <c r="C1585">
        <f>+VLOOKUP(A1585,'Undivideable Expenses'!$D$104:$AH$201,31,0)</f>
        <v>17545</v>
      </c>
      <c r="D1585" s="7">
        <f t="shared" si="406"/>
        <v>5.3861499002564832</v>
      </c>
      <c r="G1585" s="7">
        <f>+VLOOKUP(A1585,'Undivideable Expenses'!D$104:AG$201,30,0)</f>
        <v>2817.1815686274508</v>
      </c>
      <c r="H1585" s="7">
        <f t="shared" si="407"/>
        <v>151.73762224867147</v>
      </c>
    </row>
    <row r="1586" spans="1:8" x14ac:dyDescent="0.25">
      <c r="A1586" s="6">
        <v>45941</v>
      </c>
      <c r="B1586">
        <v>775</v>
      </c>
      <c r="C1586">
        <f>+VLOOKUP(A1586,'Undivideable Expenses'!$D$104:$AH$201,31,0)</f>
        <v>19220</v>
      </c>
      <c r="D1586" s="7">
        <f t="shared" si="406"/>
        <v>4.032258064516129</v>
      </c>
      <c r="G1586" s="7">
        <f>+VLOOKUP(A1586,'Undivideable Expenses'!D$104:AG$201,30,0)</f>
        <v>3711.4678431372545</v>
      </c>
      <c r="H1586" s="7">
        <f t="shared" si="407"/>
        <v>149.65596141682479</v>
      </c>
    </row>
    <row r="1587" spans="1:8" x14ac:dyDescent="0.25">
      <c r="A1587" s="6">
        <v>45943</v>
      </c>
      <c r="B1587">
        <v>1407.5</v>
      </c>
      <c r="C1587">
        <f>+VLOOKUP(A1587,'Undivideable Expenses'!$D$104:$AH$201,31,0)</f>
        <v>16090</v>
      </c>
      <c r="D1587" s="7">
        <f t="shared" si="406"/>
        <v>8.747669359850839</v>
      </c>
      <c r="G1587" s="7">
        <f>+VLOOKUP(A1587,'Undivideable Expenses'!D$104:AG$201,30,0)</f>
        <v>4156.0586274509806</v>
      </c>
      <c r="H1587" s="7">
        <f t="shared" si="407"/>
        <v>363.55826713096673</v>
      </c>
    </row>
    <row r="1588" spans="1:8" x14ac:dyDescent="0.25">
      <c r="A1588" s="6">
        <v>45944</v>
      </c>
      <c r="B1588">
        <v>218.75</v>
      </c>
      <c r="C1588">
        <f>+VLOOKUP(A1588,'Undivideable Expenses'!$D$104:$AH$201,31,0)</f>
        <v>15526.25</v>
      </c>
      <c r="D1588" s="7">
        <f t="shared" si="406"/>
        <v>1.4089042750181144</v>
      </c>
      <c r="G1588" s="7">
        <f>+VLOOKUP(A1588,'Undivideable Expenses'!D$104:AG$201,30,0)</f>
        <v>3114.9388235294118</v>
      </c>
      <c r="H1588" s="7">
        <f t="shared" si="407"/>
        <v>43.886506248904844</v>
      </c>
    </row>
    <row r="1589" spans="1:8" x14ac:dyDescent="0.25">
      <c r="A1589" s="6">
        <v>45945</v>
      </c>
      <c r="B1589">
        <v>620</v>
      </c>
      <c r="C1589">
        <f>+VLOOKUP(A1589,'Undivideable Expenses'!$D$104:$AH$201,31,0)</f>
        <v>15747.5</v>
      </c>
      <c r="D1589" s="7">
        <f t="shared" si="406"/>
        <v>3.9371328782346406</v>
      </c>
      <c r="G1589" s="7">
        <f>+VLOOKUP(A1589,'Undivideable Expenses'!D$104:AG$201,30,0)</f>
        <v>3951.51431372549</v>
      </c>
      <c r="H1589" s="7">
        <f t="shared" si="407"/>
        <v>155.57636923383421</v>
      </c>
    </row>
    <row r="1590" spans="1:8" x14ac:dyDescent="0.25">
      <c r="A1590" s="6">
        <v>45946</v>
      </c>
      <c r="B1590">
        <v>1457.5</v>
      </c>
      <c r="C1590">
        <f>+VLOOKUP(A1590,'Undivideable Expenses'!$D$104:$AH$201,31,0)</f>
        <v>15233.76</v>
      </c>
      <c r="D1590" s="7">
        <f t="shared" si="406"/>
        <v>9.5675657224480357</v>
      </c>
      <c r="G1590" s="7">
        <f>+VLOOKUP(A1590,'Undivideable Expenses'!D$104:AG$201,30,0)</f>
        <v>3988.4435294117652</v>
      </c>
      <c r="H1590" s="7">
        <f t="shared" si="407"/>
        <v>381.59695597919665</v>
      </c>
    </row>
    <row r="1591" spans="1:8" x14ac:dyDescent="0.25">
      <c r="A1591" s="6">
        <v>45947</v>
      </c>
      <c r="B1591">
        <v>1651.25</v>
      </c>
      <c r="C1591">
        <f>+VLOOKUP(A1591,'Undivideable Expenses'!$D$104:$AH$201,31,0)</f>
        <v>15503.76</v>
      </c>
      <c r="D1591" s="7">
        <f t="shared" si="406"/>
        <v>10.650642166803408</v>
      </c>
      <c r="G1591" s="7">
        <f>+VLOOKUP(A1591,'Undivideable Expenses'!D$104:AG$201,30,0)</f>
        <v>3948.3239215686281</v>
      </c>
      <c r="H1591" s="7">
        <f t="shared" si="407"/>
        <v>420.52185247257421</v>
      </c>
    </row>
    <row r="1592" spans="1:8" x14ac:dyDescent="0.25">
      <c r="A1592" s="6">
        <v>45948</v>
      </c>
      <c r="B1592">
        <v>782.5</v>
      </c>
      <c r="C1592">
        <f>+VLOOKUP(A1592,'Undivideable Expenses'!$D$104:$AH$201,31,0)</f>
        <v>14001.88</v>
      </c>
      <c r="D1592" s="7">
        <f t="shared" si="406"/>
        <v>5.5885352538373425</v>
      </c>
      <c r="G1592" s="7">
        <f>+VLOOKUP(A1592,'Undivideable Expenses'!D$104:AG$201,30,0)</f>
        <v>3462.9003921568628</v>
      </c>
      <c r="H1592" s="7">
        <f t="shared" si="407"/>
        <v>193.52540922095784</v>
      </c>
    </row>
    <row r="1593" spans="1:8" x14ac:dyDescent="0.25">
      <c r="A1593" s="6">
        <v>45952</v>
      </c>
      <c r="B1593">
        <v>180</v>
      </c>
      <c r="C1593">
        <f>+VLOOKUP(A1593,'Undivideable Expenses'!$D$104:$AH$201,31,0)</f>
        <v>7040</v>
      </c>
      <c r="D1593" s="7">
        <v>0</v>
      </c>
      <c r="G1593" s="7">
        <f>+VLOOKUP(A1593,'Undivideable Expenses'!D$104:AG$201,30,0)</f>
        <v>1928.6219607843141</v>
      </c>
      <c r="H1593" s="7">
        <f t="shared" si="407"/>
        <v>0</v>
      </c>
    </row>
    <row r="1595" spans="1:8" x14ac:dyDescent="0.25">
      <c r="A1595" t="s">
        <v>280</v>
      </c>
    </row>
    <row r="1596" spans="1:8" x14ac:dyDescent="0.25">
      <c r="A1596" s="8" t="s">
        <v>6</v>
      </c>
      <c r="B1596" s="8" t="s">
        <v>279</v>
      </c>
      <c r="C1596" s="22" t="s">
        <v>50</v>
      </c>
      <c r="D1596" s="22" t="s">
        <v>9</v>
      </c>
    </row>
    <row r="1597" spans="1:8" x14ac:dyDescent="0.25">
      <c r="A1597" s="6">
        <v>45919</v>
      </c>
      <c r="B1597" s="7">
        <v>1813.75</v>
      </c>
      <c r="C1597">
        <f>+VLOOKUP(A1597,'Undivideable Expenses'!$D$104:$AH$201,31,0)</f>
        <v>23254.17</v>
      </c>
      <c r="D1597" s="7">
        <f t="shared" ref="D1597" si="408">+B1597/C1597*100</f>
        <v>7.7996763591218263</v>
      </c>
      <c r="G1597" s="7">
        <f>+VLOOKUP(A1597,'Undivideable Expenses'!D$104:AG$201,30,0)</f>
        <v>3861.57</v>
      </c>
      <c r="H1597" s="7">
        <f t="shared" ref="H1597" si="409">+G1597/100*D1597</f>
        <v>301.18996238094076</v>
      </c>
    </row>
    <row r="1598" spans="1:8" x14ac:dyDescent="0.25">
      <c r="A1598" s="6">
        <v>45920</v>
      </c>
      <c r="B1598" s="7">
        <v>838.75</v>
      </c>
      <c r="C1598">
        <f>+VLOOKUP(A1598,'Undivideable Expenses'!$D$104:$AH$201,31,0)</f>
        <v>21410.94</v>
      </c>
      <c r="D1598" s="7">
        <f t="shared" ref="D1598:D1608" si="410">+B1598/C1598*100</f>
        <v>3.9173898950723327</v>
      </c>
      <c r="G1598" s="7">
        <f>+VLOOKUP(A1598,'Undivideable Expenses'!D$104:AG$201,30,0)</f>
        <v>4413.95</v>
      </c>
      <c r="H1598" s="7">
        <f t="shared" ref="H1598:H1608" si="411">+G1598/100*D1598</f>
        <v>172.91163127354523</v>
      </c>
    </row>
    <row r="1599" spans="1:8" x14ac:dyDescent="0.25">
      <c r="A1599" s="6">
        <v>45921</v>
      </c>
      <c r="B1599" s="7">
        <v>511.66666666666669</v>
      </c>
      <c r="C1599">
        <f>+VLOOKUP(A1599,'Undivideable Expenses'!$D$104:$AH$201,31,0)</f>
        <v>17500</v>
      </c>
      <c r="D1599" s="7">
        <f t="shared" si="410"/>
        <v>2.9238095238095241</v>
      </c>
      <c r="G1599" s="7">
        <f>+VLOOKUP(A1599,'Undivideable Expenses'!D$104:AG$201,30,0)</f>
        <v>4082.81</v>
      </c>
      <c r="H1599" s="7">
        <f t="shared" si="411"/>
        <v>119.37358761904763</v>
      </c>
    </row>
    <row r="1600" spans="1:8" x14ac:dyDescent="0.25">
      <c r="A1600" s="6">
        <v>45922</v>
      </c>
      <c r="B1600" s="7">
        <v>2226.25</v>
      </c>
      <c r="C1600">
        <f>+VLOOKUP(A1600,'Undivideable Expenses'!$D$104:$AH$201,31,0)</f>
        <v>23698.75</v>
      </c>
      <c r="D1600" s="7">
        <f t="shared" si="410"/>
        <v>9.393955377393322</v>
      </c>
      <c r="G1600" s="7">
        <f>+VLOOKUP(A1600,'Undivideable Expenses'!D$104:AG$201,30,0)</f>
        <v>4528.6099999999997</v>
      </c>
      <c r="H1600" s="7">
        <f t="shared" si="411"/>
        <v>425.41560261617167</v>
      </c>
    </row>
    <row r="1601" spans="1:8" x14ac:dyDescent="0.25">
      <c r="A1601" s="6">
        <v>45923</v>
      </c>
      <c r="B1601" s="7">
        <v>855</v>
      </c>
      <c r="C1601">
        <f>+VLOOKUP(A1601,'Undivideable Expenses'!$D$104:$AH$201,31,0)</f>
        <v>24436.93</v>
      </c>
      <c r="D1601" s="7">
        <f t="shared" si="410"/>
        <v>3.4988028365265196</v>
      </c>
      <c r="G1601" s="7">
        <f>+VLOOKUP(A1601,'Undivideable Expenses'!D$104:AG$201,30,0)</f>
        <v>4508.97</v>
      </c>
      <c r="H1601" s="7">
        <f t="shared" si="411"/>
        <v>157.75997025812981</v>
      </c>
    </row>
    <row r="1602" spans="1:8" x14ac:dyDescent="0.25">
      <c r="A1602" s="6">
        <v>45941</v>
      </c>
      <c r="B1602" s="7">
        <v>747.5</v>
      </c>
      <c r="C1602">
        <f>+VLOOKUP(A1602,'Undivideable Expenses'!$D$104:$AH$201,31,0)</f>
        <v>19220</v>
      </c>
      <c r="D1602" s="7">
        <f t="shared" si="410"/>
        <v>3.8891779396462018</v>
      </c>
      <c r="G1602" s="7">
        <f>+VLOOKUP(A1602,'Undivideable Expenses'!D$104:AG$201,30,0)</f>
        <v>3711.4678431372545</v>
      </c>
      <c r="H1602" s="7">
        <f t="shared" si="411"/>
        <v>144.34558859235682</v>
      </c>
    </row>
    <row r="1603" spans="1:8" x14ac:dyDescent="0.25">
      <c r="A1603" s="6">
        <v>45943</v>
      </c>
      <c r="B1603" s="7">
        <v>2813.75</v>
      </c>
      <c r="C1603">
        <f>+VLOOKUP(A1603,'Undivideable Expenses'!$D$104:$AH$201,31,0)</f>
        <v>16090</v>
      </c>
      <c r="D1603" s="7">
        <f t="shared" si="410"/>
        <v>17.487569919204475</v>
      </c>
      <c r="G1603" s="7">
        <f>+VLOOKUP(A1603,'Undivideable Expenses'!D$104:AG$201,30,0)</f>
        <v>4156.0586274509806</v>
      </c>
      <c r="H1603" s="7">
        <f t="shared" si="411"/>
        <v>726.79365835861995</v>
      </c>
    </row>
    <row r="1604" spans="1:8" x14ac:dyDescent="0.25">
      <c r="A1604" s="6">
        <v>45944</v>
      </c>
      <c r="B1604" s="7">
        <v>1967.5</v>
      </c>
      <c r="C1604">
        <f>+VLOOKUP(A1604,'Undivideable Expenses'!$D$104:$AH$201,31,0)</f>
        <v>15526.25</v>
      </c>
      <c r="D1604" s="7">
        <f t="shared" si="410"/>
        <v>12.672087593591499</v>
      </c>
      <c r="G1604" s="7">
        <f>+VLOOKUP(A1604,'Undivideable Expenses'!D$104:AG$201,30,0)</f>
        <v>3114.9388235294118</v>
      </c>
      <c r="H1604" s="7">
        <f t="shared" si="411"/>
        <v>394.7277762044356</v>
      </c>
    </row>
    <row r="1605" spans="1:8" x14ac:dyDescent="0.25">
      <c r="A1605" s="6">
        <v>45945</v>
      </c>
      <c r="B1605" s="7">
        <v>3118.75</v>
      </c>
      <c r="C1605">
        <f>+VLOOKUP(A1605,'Undivideable Expenses'!$D$104:$AH$201,31,0)</f>
        <v>15747.5</v>
      </c>
      <c r="D1605" s="7">
        <f t="shared" si="410"/>
        <v>19.804730909668201</v>
      </c>
      <c r="G1605" s="7">
        <f>+VLOOKUP(A1605,'Undivideable Expenses'!D$104:AG$201,30,0)</f>
        <v>3951.51431372549</v>
      </c>
      <c r="H1605" s="7">
        <f t="shared" si="411"/>
        <v>782.58677669035546</v>
      </c>
    </row>
    <row r="1606" spans="1:8" x14ac:dyDescent="0.25">
      <c r="A1606" s="6">
        <v>45946</v>
      </c>
      <c r="B1606" s="7">
        <v>556.25</v>
      </c>
      <c r="C1606">
        <f>+VLOOKUP(A1606,'Undivideable Expenses'!$D$104:$AH$201,31,0)</f>
        <v>15233.76</v>
      </c>
      <c r="D1606" s="7">
        <f t="shared" si="410"/>
        <v>3.6514294566804253</v>
      </c>
      <c r="G1606" s="7">
        <f>+VLOOKUP(A1606,'Undivideable Expenses'!D$104:AG$201,30,0)</f>
        <v>3988.4435294117652</v>
      </c>
      <c r="H1606" s="7">
        <f t="shared" si="411"/>
        <v>145.63520189600558</v>
      </c>
    </row>
    <row r="1607" spans="1:8" x14ac:dyDescent="0.25">
      <c r="A1607" s="6">
        <v>45947</v>
      </c>
      <c r="B1607" s="7">
        <v>736.25</v>
      </c>
      <c r="C1607">
        <f>+VLOOKUP(A1607,'Undivideable Expenses'!$D$104:$AH$201,31,0)</f>
        <v>15503.76</v>
      </c>
      <c r="D1607" s="7">
        <f t="shared" si="410"/>
        <v>4.7488480213831998</v>
      </c>
      <c r="G1607" s="7">
        <f>+VLOOKUP(A1607,'Undivideable Expenses'!D$104:AG$201,30,0)</f>
        <v>3948.3239215686281</v>
      </c>
      <c r="H1607" s="7">
        <f t="shared" si="411"/>
        <v>187.49990242721137</v>
      </c>
    </row>
    <row r="1608" spans="1:8" x14ac:dyDescent="0.25">
      <c r="A1608" s="6">
        <v>45948</v>
      </c>
      <c r="B1608" s="7">
        <v>250</v>
      </c>
      <c r="C1608">
        <f>+VLOOKUP(A1608,'Undivideable Expenses'!$D$104:$AH$201,31,0)</f>
        <v>14001.88</v>
      </c>
      <c r="D1608" s="7">
        <f t="shared" si="410"/>
        <v>1.7854745219927608</v>
      </c>
      <c r="G1608" s="7">
        <f>+VLOOKUP(A1608,'Undivideable Expenses'!D$104:AG$201,30,0)</f>
        <v>3462.9003921568628</v>
      </c>
      <c r="H1608" s="7">
        <f t="shared" si="411"/>
        <v>61.829204223948182</v>
      </c>
    </row>
    <row r="1610" spans="1:8" x14ac:dyDescent="0.25">
      <c r="A1610" t="s">
        <v>282</v>
      </c>
    </row>
    <row r="1611" spans="1:8" x14ac:dyDescent="0.25">
      <c r="A1611" s="8" t="s">
        <v>6</v>
      </c>
      <c r="B1611" s="8" t="s">
        <v>281</v>
      </c>
      <c r="C1611" s="22" t="s">
        <v>50</v>
      </c>
      <c r="D1611" s="22" t="s">
        <v>9</v>
      </c>
    </row>
    <row r="1612" spans="1:8" x14ac:dyDescent="0.25">
      <c r="A1612" s="6">
        <v>45922</v>
      </c>
      <c r="B1612" s="7">
        <v>1660</v>
      </c>
      <c r="C1612">
        <f>+VLOOKUP(A1612,'Undivideable Expenses'!$D$104:$AH$201,31,0)</f>
        <v>23698.75</v>
      </c>
      <c r="D1612" s="7">
        <f t="shared" ref="D1612" si="412">+B1612/C1612*100</f>
        <v>7.0045888496228699</v>
      </c>
      <c r="G1612" s="7">
        <f>+VLOOKUP(A1612,'Undivideable Expenses'!D$104:AG$201,30,0)</f>
        <v>4528.6099999999997</v>
      </c>
      <c r="H1612" s="7">
        <f t="shared" ref="H1612" si="413">+G1612/100*D1612</f>
        <v>317.21051110290625</v>
      </c>
    </row>
    <row r="1613" spans="1:8" x14ac:dyDescent="0.25">
      <c r="A1613" s="6">
        <v>45923</v>
      </c>
      <c r="B1613" s="7">
        <v>1443.1766917293232</v>
      </c>
      <c r="C1613">
        <f>+VLOOKUP(A1613,'Undivideable Expenses'!$D$104:$AH$201,31,0)</f>
        <v>24436.93</v>
      </c>
      <c r="D1613" s="7">
        <f t="shared" ref="D1613:D1634" si="414">+B1613/C1613*100</f>
        <v>5.9057201200368592</v>
      </c>
      <c r="G1613" s="7">
        <f>+VLOOKUP(A1613,'Undivideable Expenses'!D$104:AG$201,30,0)</f>
        <v>4508.97</v>
      </c>
      <c r="H1613" s="7">
        <f t="shared" ref="H1613:H1634" si="415">+G1613/100*D1613</f>
        <v>266.28714849642597</v>
      </c>
    </row>
    <row r="1614" spans="1:8" x14ac:dyDescent="0.25">
      <c r="A1614" s="6">
        <v>45924</v>
      </c>
      <c r="B1614" s="7">
        <v>61.25</v>
      </c>
      <c r="C1614">
        <f>+VLOOKUP(A1614,'Undivideable Expenses'!$D$104:$AH$201,31,0)</f>
        <v>24463.5</v>
      </c>
      <c r="D1614" s="7">
        <f t="shared" si="414"/>
        <v>0.25037300468044227</v>
      </c>
      <c r="G1614" s="7">
        <f>+VLOOKUP(A1614,'Undivideable Expenses'!D$104:AG$201,30,0)</f>
        <v>3936.63</v>
      </c>
      <c r="H1614" s="7">
        <f t="shared" si="415"/>
        <v>9.8562588141516958</v>
      </c>
    </row>
    <row r="1615" spans="1:8" x14ac:dyDescent="0.25">
      <c r="A1615" s="6">
        <v>45925</v>
      </c>
      <c r="B1615" s="7">
        <v>1815</v>
      </c>
      <c r="C1615">
        <f>+VLOOKUP(A1615,'Undivideable Expenses'!$D$104:$AH$201,31,0)</f>
        <v>24938.75</v>
      </c>
      <c r="D1615" s="7">
        <f t="shared" si="414"/>
        <v>7.2778306851786878</v>
      </c>
      <c r="G1615" s="7">
        <f>+VLOOKUP(A1615,'Undivideable Expenses'!D$104:AG$201,30,0)</f>
        <v>3941.13</v>
      </c>
      <c r="H1615" s="7">
        <f t="shared" si="415"/>
        <v>286.82876848278283</v>
      </c>
    </row>
    <row r="1616" spans="1:8" x14ac:dyDescent="0.25">
      <c r="A1616" s="6">
        <v>45926</v>
      </c>
      <c r="B1616" s="7">
        <v>3086.25</v>
      </c>
      <c r="C1616">
        <f>+VLOOKUP(A1616,'Undivideable Expenses'!$D$104:$AH$201,31,0)</f>
        <v>24910.49</v>
      </c>
      <c r="D1616" s="7">
        <f t="shared" si="414"/>
        <v>12.389358860464004</v>
      </c>
      <c r="G1616" s="7">
        <f>+VLOOKUP(A1616,'Undivideable Expenses'!D$104:AG$201,30,0)</f>
        <v>3930.78</v>
      </c>
      <c r="H1616" s="7">
        <f t="shared" si="415"/>
        <v>486.99844021534699</v>
      </c>
    </row>
    <row r="1617" spans="1:8" x14ac:dyDescent="0.25">
      <c r="A1617" s="6">
        <v>45927</v>
      </c>
      <c r="B1617" s="7">
        <v>2142.8131679841313</v>
      </c>
      <c r="C1617">
        <f>+VLOOKUP(A1617,'Undivideable Expenses'!$D$104:$AH$201,31,0)</f>
        <v>20695.939999999999</v>
      </c>
      <c r="D1617" s="7">
        <f t="shared" si="414"/>
        <v>10.353785177112668</v>
      </c>
      <c r="G1617" s="7">
        <f>+VLOOKUP(A1617,'Undivideable Expenses'!D$104:AG$201,30,0)</f>
        <v>3031.71</v>
      </c>
      <c r="H1617" s="7">
        <f t="shared" si="415"/>
        <v>313.89674059304247</v>
      </c>
    </row>
    <row r="1618" spans="1:8" x14ac:dyDescent="0.25">
      <c r="A1618" s="6">
        <v>45929</v>
      </c>
      <c r="B1618" s="7">
        <v>5166.25</v>
      </c>
      <c r="C1618">
        <f>+VLOOKUP(A1618,'Undivideable Expenses'!$D$104:$AH$201,31,0)</f>
        <v>23047.47</v>
      </c>
      <c r="D1618" s="7">
        <f t="shared" si="414"/>
        <v>22.41569248164766</v>
      </c>
      <c r="G1618" s="7">
        <f>+VLOOKUP(A1618,'Undivideable Expenses'!D$104:AG$201,30,0)</f>
        <v>3932.92</v>
      </c>
      <c r="H1618" s="7">
        <f t="shared" si="415"/>
        <v>881.59125274921712</v>
      </c>
    </row>
    <row r="1619" spans="1:8" x14ac:dyDescent="0.25">
      <c r="A1619" s="6">
        <v>45930</v>
      </c>
      <c r="B1619" s="7">
        <v>3056.25</v>
      </c>
      <c r="C1619">
        <f>+VLOOKUP(A1619,'Undivideable Expenses'!$D$104:$AH$201,31,0)</f>
        <v>17926.25</v>
      </c>
      <c r="D1619" s="7">
        <f t="shared" si="414"/>
        <v>17.049020291472004</v>
      </c>
      <c r="G1619" s="7">
        <f>+VLOOKUP(A1619,'Undivideable Expenses'!D$104:AG$201,30,0)</f>
        <v>3020.61</v>
      </c>
      <c r="H1619" s="7">
        <f t="shared" si="415"/>
        <v>514.98441182623253</v>
      </c>
    </row>
    <row r="1620" spans="1:8" x14ac:dyDescent="0.25">
      <c r="A1620" s="6">
        <v>45931</v>
      </c>
      <c r="B1620" s="7">
        <v>5115</v>
      </c>
      <c r="C1620">
        <f>+VLOOKUP(A1620,'Undivideable Expenses'!$D$104:$AH$201,31,0)</f>
        <v>19960</v>
      </c>
      <c r="D1620" s="7">
        <f t="shared" si="414"/>
        <v>25.626252505010022</v>
      </c>
      <c r="G1620" s="7">
        <f>+VLOOKUP(A1620,'Undivideable Expenses'!D$104:AG$201,30,0)</f>
        <v>3837.6094117647058</v>
      </c>
      <c r="H1620" s="7">
        <f t="shared" si="415"/>
        <v>983.43547801485329</v>
      </c>
    </row>
    <row r="1621" spans="1:8" x14ac:dyDescent="0.25">
      <c r="A1621" s="6">
        <v>45932</v>
      </c>
      <c r="B1621" s="7">
        <v>2270</v>
      </c>
      <c r="C1621">
        <f>+VLOOKUP(A1621,'Undivideable Expenses'!$D$104:$AH$201,31,0)</f>
        <v>22645.63</v>
      </c>
      <c r="D1621" s="7">
        <f t="shared" si="414"/>
        <v>10.024009047220147</v>
      </c>
      <c r="G1621" s="7">
        <f>+VLOOKUP(A1621,'Undivideable Expenses'!D$104:AG$201,30,0)</f>
        <v>3203.2896078431372</v>
      </c>
      <c r="H1621" s="7">
        <f t="shared" si="415"/>
        <v>321.09804009885886</v>
      </c>
    </row>
    <row r="1622" spans="1:8" x14ac:dyDescent="0.25">
      <c r="A1622" s="6">
        <v>45933</v>
      </c>
      <c r="B1622" s="7">
        <v>2405</v>
      </c>
      <c r="C1622">
        <f>+VLOOKUP(A1622,'Undivideable Expenses'!$D$104:$AH$201,31,0)</f>
        <v>18936.25</v>
      </c>
      <c r="D1622" s="7">
        <f t="shared" si="414"/>
        <v>12.700508284375205</v>
      </c>
      <c r="G1622" s="7">
        <f>+VLOOKUP(A1622,'Undivideable Expenses'!D$104:AG$201,30,0)</f>
        <v>3840.6227450980391</v>
      </c>
      <c r="H1622" s="7">
        <f t="shared" si="415"/>
        <v>487.77860991277487</v>
      </c>
    </row>
    <row r="1623" spans="1:8" x14ac:dyDescent="0.25">
      <c r="A1623" s="6">
        <v>45934</v>
      </c>
      <c r="B1623" s="7">
        <v>1867.5</v>
      </c>
      <c r="C1623">
        <f>+VLOOKUP(A1623,'Undivideable Expenses'!$D$104:$AH$201,31,0)</f>
        <v>21914.38</v>
      </c>
      <c r="D1623" s="7">
        <f t="shared" si="414"/>
        <v>8.52180166630313</v>
      </c>
      <c r="F1623" s="7"/>
      <c r="G1623" s="7">
        <f>+VLOOKUP(A1623,'Undivideable Expenses'!D$104:AG$201,30,0)</f>
        <v>3754.773333333334</v>
      </c>
      <c r="H1623" s="7">
        <f t="shared" si="415"/>
        <v>319.97433648590561</v>
      </c>
    </row>
    <row r="1624" spans="1:8" x14ac:dyDescent="0.25">
      <c r="A1624" s="6">
        <v>45935</v>
      </c>
      <c r="B1624" s="7">
        <v>125</v>
      </c>
      <c r="C1624">
        <f>+VLOOKUP(A1624,'Undivideable Expenses'!$D$104:$AH$201,31,0)</f>
        <v>16911.900000000001</v>
      </c>
      <c r="D1624" s="7">
        <f t="shared" si="414"/>
        <v>0.73912452178643429</v>
      </c>
      <c r="F1624" s="7"/>
      <c r="G1624" s="7">
        <f>+VLOOKUP(A1624,'Undivideable Expenses'!D$104:AG$201,30,0)</f>
        <v>2248.4699999999998</v>
      </c>
      <c r="H1624" s="7">
        <f t="shared" si="415"/>
        <v>16.618993135011436</v>
      </c>
    </row>
    <row r="1625" spans="1:8" x14ac:dyDescent="0.25">
      <c r="A1625" s="6">
        <v>45939</v>
      </c>
      <c r="B1625" s="7">
        <v>117.5</v>
      </c>
      <c r="C1625">
        <f>+VLOOKUP(A1625,'Undivideable Expenses'!$D$104:$AH$201,31,0)</f>
        <v>22478.76</v>
      </c>
      <c r="D1625" s="7">
        <f t="shared" si="414"/>
        <v>0.52271566581074758</v>
      </c>
      <c r="F1625" s="7"/>
      <c r="G1625" s="7">
        <f>+VLOOKUP(A1625,'Undivideable Expenses'!D$104:AG$201,30,0)</f>
        <v>3445.8135294117646</v>
      </c>
      <c r="H1625" s="7">
        <f t="shared" si="415"/>
        <v>18.011807132861527</v>
      </c>
    </row>
    <row r="1626" spans="1:8" x14ac:dyDescent="0.25">
      <c r="A1626" s="6">
        <v>45940</v>
      </c>
      <c r="B1626" s="7">
        <v>207.5</v>
      </c>
      <c r="C1626">
        <f>+VLOOKUP(A1626,'Undivideable Expenses'!$D$104:$AH$201,31,0)</f>
        <v>17545</v>
      </c>
      <c r="D1626" s="7">
        <f t="shared" si="414"/>
        <v>1.182673126246794</v>
      </c>
      <c r="F1626" s="7"/>
      <c r="G1626" s="7">
        <f>+VLOOKUP(A1626,'Undivideable Expenses'!D$104:AG$201,30,0)</f>
        <v>2817.1815686274508</v>
      </c>
      <c r="H1626" s="7">
        <f t="shared" si="415"/>
        <v>33.318049329734741</v>
      </c>
    </row>
    <row r="1627" spans="1:8" x14ac:dyDescent="0.25">
      <c r="A1627" s="6">
        <v>45941</v>
      </c>
      <c r="B1627" s="7">
        <v>595</v>
      </c>
      <c r="C1627">
        <f>+VLOOKUP(A1627,'Undivideable Expenses'!$D$104:$AH$201,31,0)</f>
        <v>19220</v>
      </c>
      <c r="D1627" s="7">
        <f t="shared" si="414"/>
        <v>3.0957336108220606</v>
      </c>
      <c r="F1627" s="7"/>
      <c r="G1627" s="7">
        <f>+VLOOKUP(A1627,'Undivideable Expenses'!D$104:AG$201,30,0)</f>
        <v>3711.4678431372545</v>
      </c>
      <c r="H1627" s="7">
        <f t="shared" si="415"/>
        <v>114.89715747485258</v>
      </c>
    </row>
    <row r="1628" spans="1:8" x14ac:dyDescent="0.25">
      <c r="A1628" s="6">
        <v>45943</v>
      </c>
      <c r="B1628" s="7">
        <v>1553.75</v>
      </c>
      <c r="C1628">
        <f>+VLOOKUP(A1628,'Undivideable Expenses'!$D$104:$AH$201,31,0)</f>
        <v>16090</v>
      </c>
      <c r="D1628" s="7">
        <f t="shared" si="414"/>
        <v>9.6566190180236173</v>
      </c>
      <c r="F1628" s="7"/>
      <c r="G1628" s="7">
        <f>+VLOOKUP(A1628,'Undivideable Expenses'!D$104:AG$201,30,0)</f>
        <v>4156.0586274509806</v>
      </c>
      <c r="H1628" s="7">
        <f t="shared" si="415"/>
        <v>401.33474781864265</v>
      </c>
    </row>
    <row r="1629" spans="1:8" x14ac:dyDescent="0.25">
      <c r="A1629" s="6">
        <v>45944</v>
      </c>
      <c r="B1629" s="7">
        <v>187.5</v>
      </c>
      <c r="C1629">
        <f>+VLOOKUP(A1629,'Undivideable Expenses'!$D$104:$AH$201,31,0)</f>
        <v>15526.25</v>
      </c>
      <c r="D1629" s="7">
        <f t="shared" si="414"/>
        <v>1.2076322357298124</v>
      </c>
      <c r="F1629" s="7"/>
      <c r="G1629" s="7">
        <f>+VLOOKUP(A1629,'Undivideable Expenses'!D$104:AG$201,30,0)</f>
        <v>3114.9388235294118</v>
      </c>
      <c r="H1629" s="7">
        <f t="shared" si="415"/>
        <v>37.617005356204153</v>
      </c>
    </row>
    <row r="1630" spans="1:8" x14ac:dyDescent="0.25">
      <c r="A1630" s="6">
        <v>45945</v>
      </c>
      <c r="B1630" s="7">
        <v>807.5</v>
      </c>
      <c r="C1630">
        <f>+VLOOKUP(A1630,'Undivideable Expenses'!$D$104:$AH$201,31,0)</f>
        <v>15747.5</v>
      </c>
      <c r="D1630" s="7">
        <f t="shared" si="414"/>
        <v>5.1277980631846329</v>
      </c>
      <c r="F1630" s="7"/>
      <c r="G1630" s="7">
        <f>+VLOOKUP(A1630,'Undivideable Expenses'!D$104:AG$201,30,0)</f>
        <v>3951.51431372549</v>
      </c>
      <c r="H1630" s="7">
        <f t="shared" si="415"/>
        <v>202.62567444567924</v>
      </c>
    </row>
    <row r="1631" spans="1:8" x14ac:dyDescent="0.25">
      <c r="A1631" s="6">
        <v>45946</v>
      </c>
      <c r="B1631" s="7">
        <v>61.25</v>
      </c>
      <c r="C1631">
        <f>+VLOOKUP(A1631,'Undivideable Expenses'!$D$104:$AH$201,31,0)</f>
        <v>15233.76</v>
      </c>
      <c r="D1631" s="7">
        <f t="shared" si="414"/>
        <v>0.40206751320750755</v>
      </c>
      <c r="F1631" s="7"/>
      <c r="G1631" s="7">
        <f>+VLOOKUP(A1631,'Undivideable Expenses'!D$104:AG$201,30,0)</f>
        <v>3988.4435294117652</v>
      </c>
      <c r="H1631" s="7">
        <f t="shared" si="415"/>
        <v>16.03623571439163</v>
      </c>
    </row>
    <row r="1632" spans="1:8" x14ac:dyDescent="0.25">
      <c r="A1632" s="6">
        <v>45947</v>
      </c>
      <c r="B1632" s="7">
        <v>420</v>
      </c>
      <c r="C1632">
        <f>+VLOOKUP(A1632,'Undivideable Expenses'!$D$104:$AH$201,31,0)</f>
        <v>15503.76</v>
      </c>
      <c r="D1632" s="7">
        <f t="shared" si="414"/>
        <v>2.709020263471571</v>
      </c>
      <c r="F1632" s="7"/>
      <c r="G1632" s="7">
        <f>+VLOOKUP(A1632,'Undivideable Expenses'!D$104:AG$201,30,0)</f>
        <v>3948.3239215686281</v>
      </c>
      <c r="H1632" s="7">
        <f t="shared" si="415"/>
        <v>106.96089510278952</v>
      </c>
    </row>
    <row r="1633" spans="1:8" x14ac:dyDescent="0.25">
      <c r="A1633" s="6">
        <v>45948</v>
      </c>
      <c r="B1633" s="7">
        <v>1137.5</v>
      </c>
      <c r="C1633">
        <f>+VLOOKUP(A1633,'Undivideable Expenses'!$D$104:$AH$201,31,0)</f>
        <v>14001.88</v>
      </c>
      <c r="D1633" s="7">
        <f t="shared" si="414"/>
        <v>8.1239090750670631</v>
      </c>
      <c r="F1633" s="7"/>
      <c r="G1633" s="7">
        <f>+VLOOKUP(A1633,'Undivideable Expenses'!D$104:AG$201,30,0)</f>
        <v>3462.9003921568628</v>
      </c>
      <c r="H1633" s="7">
        <f t="shared" si="415"/>
        <v>281.32287921896426</v>
      </c>
    </row>
    <row r="1634" spans="1:8" x14ac:dyDescent="0.25">
      <c r="A1634" s="6">
        <v>45952</v>
      </c>
      <c r="B1634" s="7">
        <v>1807.5</v>
      </c>
      <c r="C1634">
        <f>+VLOOKUP(A1634,'Undivideable Expenses'!$D$104:$AH$201,31,0)</f>
        <v>7040</v>
      </c>
      <c r="D1634" s="7">
        <f t="shared" si="414"/>
        <v>25.67471590909091</v>
      </c>
      <c r="F1634" s="7"/>
      <c r="G1634" s="7">
        <f>+VLOOKUP(A1634,'Undivideable Expenses'!D$104:AG$201,30,0)</f>
        <v>1928.6219607843141</v>
      </c>
      <c r="H1634" s="7">
        <f t="shared" si="415"/>
        <v>495.16820939171134</v>
      </c>
    </row>
    <row r="1635" spans="1:8" x14ac:dyDescent="0.25">
      <c r="A1635" s="6">
        <v>45953</v>
      </c>
      <c r="B1635">
        <v>1623.75</v>
      </c>
      <c r="C1635">
        <f>+VLOOKUP(A1635,'Undivideable Expenses'!$D$104:$AH$201,31,0)</f>
        <v>6420</v>
      </c>
      <c r="D1635" s="7">
        <f t="shared" ref="D1635:D1638" si="416">+B1635/C1635*100</f>
        <v>25.292056074766357</v>
      </c>
      <c r="F1635" s="7"/>
      <c r="G1635" s="7">
        <f>+VLOOKUP(A1635,'Undivideable Expenses'!D$104:AG$201,30,0)</f>
        <v>1998.5462745098041</v>
      </c>
      <c r="H1635" s="7">
        <f t="shared" ref="H1635:H1638" si="417">+G1635/100*D1635</f>
        <v>505.47344442917358</v>
      </c>
    </row>
    <row r="1636" spans="1:8" x14ac:dyDescent="0.25">
      <c r="A1636" s="6">
        <v>45954</v>
      </c>
      <c r="B1636">
        <v>2172.5</v>
      </c>
      <c r="C1636">
        <f>+VLOOKUP(A1636,'Undivideable Expenses'!$D$104:$AH$201,31,0)</f>
        <v>12080</v>
      </c>
      <c r="D1636" s="7">
        <f t="shared" si="416"/>
        <v>17.984271523178808</v>
      </c>
      <c r="F1636" s="7"/>
      <c r="G1636" s="7">
        <f>+VLOOKUP(A1636,'Undivideable Expenses'!D$104:AG$201,30,0)</f>
        <v>2494.6062745098038</v>
      </c>
      <c r="H1636" s="7">
        <f t="shared" si="417"/>
        <v>448.63676584209844</v>
      </c>
    </row>
    <row r="1637" spans="1:8" x14ac:dyDescent="0.25">
      <c r="A1637" s="6">
        <v>45955</v>
      </c>
      <c r="B1637">
        <v>742.5</v>
      </c>
      <c r="C1637">
        <f>+VLOOKUP(A1637,'Undivideable Expenses'!$D$104:$AH$201,31,0)</f>
        <v>9635</v>
      </c>
      <c r="D1637" s="7">
        <f t="shared" si="416"/>
        <v>7.7062791904514789</v>
      </c>
      <c r="F1637" s="7"/>
      <c r="G1637" s="7">
        <f>+VLOOKUP(A1637,'Undivideable Expenses'!D$104:AG$201,30,0)</f>
        <v>3524.9821568627449</v>
      </c>
      <c r="H1637" s="7">
        <f t="shared" si="417"/>
        <v>271.64496642144138</v>
      </c>
    </row>
    <row r="1638" spans="1:8" x14ac:dyDescent="0.25">
      <c r="A1638" s="6">
        <v>45958</v>
      </c>
      <c r="B1638">
        <v>187.5</v>
      </c>
      <c r="C1638">
        <f>+VLOOKUP(A1638,'Undivideable Expenses'!$D$104:$AH$201,31,0)</f>
        <v>12300</v>
      </c>
      <c r="D1638" s="7">
        <f t="shared" si="416"/>
        <v>1.524390243902439</v>
      </c>
      <c r="F1638" s="7"/>
      <c r="G1638" s="7">
        <f>+VLOOKUP(A1638,'Undivideable Expenses'!D$104:AG$201,30,0)</f>
        <v>3821.4443137254907</v>
      </c>
      <c r="H1638" s="7">
        <f t="shared" si="417"/>
        <v>58.253724294595891</v>
      </c>
    </row>
    <row r="1640" spans="1:8" x14ac:dyDescent="0.25">
      <c r="A1640" t="s">
        <v>284</v>
      </c>
    </row>
    <row r="1641" spans="1:8" x14ac:dyDescent="0.25">
      <c r="A1641" s="8" t="s">
        <v>6</v>
      </c>
      <c r="B1641" s="8" t="s">
        <v>283</v>
      </c>
      <c r="C1641" s="22" t="s">
        <v>50</v>
      </c>
      <c r="D1641" s="22" t="s">
        <v>9</v>
      </c>
    </row>
    <row r="1642" spans="1:8" x14ac:dyDescent="0.25">
      <c r="A1642" s="6">
        <v>45929</v>
      </c>
      <c r="B1642">
        <v>45</v>
      </c>
      <c r="C1642">
        <f>+VLOOKUP(A1642,'Undivideable Expenses'!$D$104:$AH$201,31,0)</f>
        <v>23047.47</v>
      </c>
      <c r="D1642" s="7">
        <f t="shared" ref="D1642:D1643" si="418">+B1642/C1642*100</f>
        <v>0.19524919654955619</v>
      </c>
      <c r="G1642" s="7">
        <f>+VLOOKUP(A1642,'Undivideable Expenses'!D$104:AG$201,30,0)</f>
        <v>3932.92</v>
      </c>
      <c r="H1642" s="7">
        <f t="shared" ref="H1642:H1643" si="419">+G1642/100*D1642</f>
        <v>7.6789947009368058</v>
      </c>
    </row>
    <row r="1643" spans="1:8" x14ac:dyDescent="0.25">
      <c r="A1643" s="6">
        <v>45930</v>
      </c>
      <c r="B1643">
        <v>2163.75</v>
      </c>
      <c r="C1643">
        <f>+VLOOKUP(A1643,'Undivideable Expenses'!$D$104:$AH$201,31,0)</f>
        <v>17926.25</v>
      </c>
      <c r="D1643" s="7">
        <f t="shared" si="418"/>
        <v>12.07028798549613</v>
      </c>
      <c r="G1643" s="7">
        <f>+VLOOKUP(A1643,'Undivideable Expenses'!D$104:AG$201,30,0)</f>
        <v>3020.61</v>
      </c>
      <c r="H1643" s="7">
        <f t="shared" si="419"/>
        <v>364.59632591869467</v>
      </c>
    </row>
    <row r="1644" spans="1:8" x14ac:dyDescent="0.25">
      <c r="A1644" s="6">
        <v>45931</v>
      </c>
      <c r="B1644">
        <v>3766.25</v>
      </c>
      <c r="C1644">
        <f>+VLOOKUP(A1644,'Undivideable Expenses'!$D$104:$AH$201,31,0)</f>
        <v>19960</v>
      </c>
      <c r="D1644" s="7">
        <f t="shared" ref="D1644:D1650" si="420">+B1644/C1644*100</f>
        <v>18.868987975951903</v>
      </c>
      <c r="G1644" s="7">
        <f>+VLOOKUP(A1644,'Undivideable Expenses'!D$104:AG$201,30,0)</f>
        <v>3837.6094117647058</v>
      </c>
      <c r="H1644" s="7">
        <f t="shared" ref="H1644:H1650" si="421">+G1644/100*D1644</f>
        <v>724.11805846988091</v>
      </c>
    </row>
    <row r="1645" spans="1:8" x14ac:dyDescent="0.25">
      <c r="A1645" s="6">
        <v>45932</v>
      </c>
      <c r="B1645">
        <v>3822.5</v>
      </c>
      <c r="C1645">
        <f>+VLOOKUP(A1645,'Undivideable Expenses'!$D$104:$AH$201,31,0)</f>
        <v>22645.63</v>
      </c>
      <c r="D1645" s="7">
        <f t="shared" si="420"/>
        <v>16.879636380175778</v>
      </c>
      <c r="G1645" s="7">
        <f>+VLOOKUP(A1645,'Undivideable Expenses'!D$104:AG$201,30,0)</f>
        <v>3203.2896078431372</v>
      </c>
      <c r="H1645" s="7">
        <f t="shared" si="421"/>
        <v>540.70363800788016</v>
      </c>
    </row>
    <row r="1646" spans="1:8" x14ac:dyDescent="0.25">
      <c r="A1646" s="6">
        <v>45933</v>
      </c>
      <c r="B1646">
        <v>1526.25</v>
      </c>
      <c r="C1646">
        <f>+VLOOKUP(A1646,'Undivideable Expenses'!$D$104:$AH$201,31,0)</f>
        <v>18936.25</v>
      </c>
      <c r="D1646" s="7">
        <f t="shared" si="420"/>
        <v>8.0599379496996502</v>
      </c>
      <c r="G1646" s="7">
        <f>+VLOOKUP(A1646,'Undivideable Expenses'!D$104:AG$201,30,0)</f>
        <v>3840.6227450980391</v>
      </c>
      <c r="H1646" s="7">
        <f t="shared" si="421"/>
        <v>309.55181013695329</v>
      </c>
    </row>
    <row r="1647" spans="1:8" x14ac:dyDescent="0.25">
      <c r="A1647" s="6">
        <v>45934</v>
      </c>
      <c r="B1647">
        <v>203.75</v>
      </c>
      <c r="C1647">
        <f>+VLOOKUP(A1647,'Undivideable Expenses'!$D$104:$AH$201,31,0)</f>
        <v>21914.38</v>
      </c>
      <c r="D1647" s="7">
        <f t="shared" si="420"/>
        <v>0.92975480027269763</v>
      </c>
      <c r="G1647" s="7">
        <f>+VLOOKUP(A1647,'Undivideable Expenses'!D$104:AG$201,30,0)</f>
        <v>3754.773333333334</v>
      </c>
      <c r="H1647" s="7">
        <f t="shared" si="421"/>
        <v>34.910185306025852</v>
      </c>
    </row>
    <row r="1648" spans="1:8" x14ac:dyDescent="0.25">
      <c r="A1648" s="6">
        <v>45936</v>
      </c>
      <c r="B1648">
        <v>220</v>
      </c>
      <c r="C1648">
        <f>+VLOOKUP(A1648,'Undivideable Expenses'!$D$104:$AH$201,31,0)</f>
        <v>17012.5</v>
      </c>
      <c r="D1648" s="7">
        <f t="shared" si="420"/>
        <v>1.2931667891256429</v>
      </c>
      <c r="G1648" s="7">
        <f>+VLOOKUP(A1648,'Undivideable Expenses'!D$104:AG$201,30,0)</f>
        <v>2950.3319607843141</v>
      </c>
      <c r="H1648" s="7">
        <f t="shared" si="421"/>
        <v>38.152713085822135</v>
      </c>
    </row>
    <row r="1649" spans="1:8" x14ac:dyDescent="0.25">
      <c r="A1649" s="6">
        <v>45938</v>
      </c>
      <c r="B1649">
        <v>165</v>
      </c>
      <c r="C1649">
        <f>+VLOOKUP(A1649,'Undivideable Expenses'!$D$104:$AH$201,31,0)</f>
        <v>22083.14</v>
      </c>
      <c r="D1649" s="7">
        <f t="shared" si="420"/>
        <v>0.7471763526382571</v>
      </c>
      <c r="G1649" s="7">
        <f>+VLOOKUP(A1649,'Undivideable Expenses'!D$104:AG$201,30,0)</f>
        <v>3614.8539215686278</v>
      </c>
      <c r="H1649" s="7">
        <f t="shared" si="421"/>
        <v>27.009333684377477</v>
      </c>
    </row>
    <row r="1650" spans="1:8" x14ac:dyDescent="0.25">
      <c r="A1650" s="6">
        <v>45941</v>
      </c>
      <c r="B1650">
        <v>120</v>
      </c>
      <c r="C1650">
        <f>+VLOOKUP(A1650,'Undivideable Expenses'!$D$104:$AH$201,31,0)</f>
        <v>19220</v>
      </c>
      <c r="D1650" s="7">
        <f t="shared" si="420"/>
        <v>0.62434963579604574</v>
      </c>
      <c r="G1650" s="7">
        <f>+VLOOKUP(A1650,'Undivideable Expenses'!D$104:AG$201,30,0)</f>
        <v>3711.4678431372545</v>
      </c>
      <c r="H1650" s="7">
        <f t="shared" si="421"/>
        <v>23.172535961314804</v>
      </c>
    </row>
    <row r="1653" spans="1:8" x14ac:dyDescent="0.25">
      <c r="A1653" t="s">
        <v>291</v>
      </c>
    </row>
    <row r="1654" spans="1:8" x14ac:dyDescent="0.25">
      <c r="A1654" s="8" t="s">
        <v>6</v>
      </c>
      <c r="B1654" s="8" t="s">
        <v>290</v>
      </c>
      <c r="C1654" s="22" t="s">
        <v>50</v>
      </c>
      <c r="D1654" s="22" t="s">
        <v>9</v>
      </c>
    </row>
    <row r="1655" spans="1:8" x14ac:dyDescent="0.25">
      <c r="A1655" s="6">
        <v>45945</v>
      </c>
      <c r="B1655" s="7">
        <v>315</v>
      </c>
      <c r="C1655">
        <v>15747.5</v>
      </c>
      <c r="D1655" s="7">
        <f t="shared" ref="D1655:D1664" si="422">+B1655/C1655*100</f>
        <v>2.0003175107159867</v>
      </c>
      <c r="G1655" s="7">
        <f>+VLOOKUP(A1655,'Undivideable Expenses'!D$104:AG$201,30,0)</f>
        <v>3951.51431372549</v>
      </c>
      <c r="H1655" s="7">
        <f t="shared" ref="H1655:H1664" si="423">+G1655/100*D1655</f>
        <v>79.042832755899639</v>
      </c>
    </row>
    <row r="1656" spans="1:8" x14ac:dyDescent="0.25">
      <c r="A1656" s="6">
        <v>45946</v>
      </c>
      <c r="B1656" s="7">
        <v>1422.5</v>
      </c>
      <c r="C1656">
        <v>15233.76</v>
      </c>
      <c r="D1656" s="7">
        <f t="shared" si="422"/>
        <v>9.3378128577580313</v>
      </c>
      <c r="G1656" s="7">
        <f>+VLOOKUP(A1656,'Undivideable Expenses'!D$104:AG$201,30,0)</f>
        <v>3988.4435294117652</v>
      </c>
      <c r="H1656" s="7">
        <f t="shared" si="423"/>
        <v>372.43339271383002</v>
      </c>
    </row>
    <row r="1657" spans="1:8" x14ac:dyDescent="0.25">
      <c r="A1657" s="6">
        <v>45947</v>
      </c>
      <c r="B1657" s="7">
        <v>907.5</v>
      </c>
      <c r="C1657">
        <v>15503.76</v>
      </c>
      <c r="D1657" s="7">
        <f t="shared" si="422"/>
        <v>5.8534187835725016</v>
      </c>
      <c r="G1657" s="7">
        <f>+VLOOKUP(A1657,'Undivideable Expenses'!D$104:AG$201,30,0)</f>
        <v>3948.3239215686281</v>
      </c>
      <c r="H1657" s="7">
        <f t="shared" si="423"/>
        <v>231.11193406138449</v>
      </c>
    </row>
    <row r="1658" spans="1:8" x14ac:dyDescent="0.25">
      <c r="A1658" s="6">
        <v>45948</v>
      </c>
      <c r="B1658" s="7">
        <v>971.25</v>
      </c>
      <c r="C1658">
        <v>14001.88</v>
      </c>
      <c r="D1658" s="7">
        <f t="shared" si="422"/>
        <v>6.9365685179418772</v>
      </c>
      <c r="G1658" s="7">
        <f>+VLOOKUP(A1658,'Undivideable Expenses'!D$104:AG$201,30,0)</f>
        <v>3462.9003921568628</v>
      </c>
      <c r="H1658" s="7">
        <f t="shared" si="423"/>
        <v>240.20645841003872</v>
      </c>
    </row>
    <row r="1659" spans="1:8" x14ac:dyDescent="0.25">
      <c r="A1659" s="6">
        <v>45952</v>
      </c>
      <c r="B1659" s="7">
        <v>183.75</v>
      </c>
      <c r="C1659">
        <v>7040</v>
      </c>
      <c r="D1659" s="7">
        <f t="shared" si="422"/>
        <v>2.6100852272727271</v>
      </c>
      <c r="G1659" s="7">
        <f>+VLOOKUP(A1659,'Undivideable Expenses'!D$104:AG$201,30,0)</f>
        <v>1928.6219607843141</v>
      </c>
      <c r="H1659" s="7">
        <f t="shared" si="423"/>
        <v>50.338676888368987</v>
      </c>
    </row>
    <row r="1660" spans="1:8" x14ac:dyDescent="0.25">
      <c r="A1660" s="6">
        <v>45953</v>
      </c>
      <c r="B1660" s="7">
        <v>743.75</v>
      </c>
      <c r="C1660">
        <v>6420</v>
      </c>
      <c r="D1660" s="7">
        <f t="shared" si="422"/>
        <v>11.584890965732088</v>
      </c>
      <c r="G1660" s="7">
        <f>+VLOOKUP(A1660,'Undivideable Expenses'!D$104:AG$201,30,0)</f>
        <v>1998.5462745098041</v>
      </c>
      <c r="H1660" s="7">
        <f t="shared" si="423"/>
        <v>231.52940680166151</v>
      </c>
    </row>
    <row r="1661" spans="1:8" x14ac:dyDescent="0.25">
      <c r="A1661" s="6">
        <v>45954</v>
      </c>
      <c r="B1661" s="7">
        <v>308.75</v>
      </c>
      <c r="C1661">
        <v>12080</v>
      </c>
      <c r="D1661" s="7">
        <f t="shared" si="422"/>
        <v>2.5558774834437084</v>
      </c>
      <c r="G1661" s="7">
        <f>+VLOOKUP(A1661,'Undivideable Expenses'!D$104:AG$201,30,0)</f>
        <v>2494.6062745098038</v>
      </c>
      <c r="H1661" s="7">
        <f t="shared" si="423"/>
        <v>63.759080070770025</v>
      </c>
    </row>
    <row r="1662" spans="1:8" x14ac:dyDescent="0.25">
      <c r="A1662" s="6">
        <v>45955</v>
      </c>
      <c r="B1662" s="7">
        <v>2193.75</v>
      </c>
      <c r="C1662">
        <v>9635</v>
      </c>
      <c r="D1662" s="7">
        <f t="shared" si="422"/>
        <v>22.768552153606642</v>
      </c>
      <c r="G1662" s="7">
        <f>+VLOOKUP(A1662,'Undivideable Expenses'!D$104:AG$201,30,0)</f>
        <v>3524.9821568627449</v>
      </c>
      <c r="H1662" s="7">
        <f t="shared" si="423"/>
        <v>802.58740079062227</v>
      </c>
    </row>
    <row r="1663" spans="1:8" x14ac:dyDescent="0.25">
      <c r="A1663" s="6">
        <v>45957</v>
      </c>
      <c r="B1663" s="7">
        <v>1672.5</v>
      </c>
      <c r="C1663">
        <v>10282.5</v>
      </c>
      <c r="D1663" s="7">
        <f t="shared" si="422"/>
        <v>16.265499635302699</v>
      </c>
      <c r="G1663" s="7">
        <f>+VLOOKUP(A1663,'Undivideable Expenses'!D$104:AG$201,30,0)</f>
        <v>2931.9709803921569</v>
      </c>
      <c r="H1663" s="7">
        <f t="shared" si="423"/>
        <v>476.89972912286726</v>
      </c>
    </row>
    <row r="1664" spans="1:8" x14ac:dyDescent="0.25">
      <c r="A1664" s="6">
        <v>45958</v>
      </c>
      <c r="B1664" s="7">
        <v>752.5</v>
      </c>
      <c r="C1664">
        <v>12300</v>
      </c>
      <c r="D1664" s="7">
        <f t="shared" si="422"/>
        <v>6.1178861788617889</v>
      </c>
      <c r="G1664" s="7">
        <f>+VLOOKUP(A1664,'Undivideable Expenses'!D$104:AG$201,30,0)</f>
        <v>3821.4443137254907</v>
      </c>
      <c r="H1664" s="7">
        <f t="shared" si="423"/>
        <v>233.79161350231152</v>
      </c>
    </row>
    <row r="1667" spans="1:8" x14ac:dyDescent="0.25">
      <c r="A1667" s="11" t="s">
        <v>293</v>
      </c>
    </row>
    <row r="1668" spans="1:8" x14ac:dyDescent="0.25">
      <c r="A1668" s="8" t="s">
        <v>6</v>
      </c>
      <c r="B1668" s="8" t="s">
        <v>292</v>
      </c>
      <c r="C1668" s="22" t="s">
        <v>50</v>
      </c>
      <c r="D1668" s="22" t="s">
        <v>9</v>
      </c>
    </row>
    <row r="1669" spans="1:8" x14ac:dyDescent="0.25">
      <c r="A1669" s="6">
        <v>45947</v>
      </c>
      <c r="B1669" s="7">
        <v>165</v>
      </c>
      <c r="C1669">
        <f>+VLOOKUP(A1669,'Undivideable Expenses'!$D$104:$AH$201,31,0)</f>
        <v>15503.76</v>
      </c>
      <c r="D1669" s="7">
        <f t="shared" ref="D1669:D1678" si="424">+B1669/C1669*100</f>
        <v>1.0642579606495457</v>
      </c>
      <c r="G1669" s="7">
        <f>+VLOOKUP(A1669,'Undivideable Expenses'!D$104:AG$201,30,0)</f>
        <v>3948.3239215686281</v>
      </c>
      <c r="H1669" s="7">
        <f t="shared" ref="H1669" si="425">+G1669/100*D1669</f>
        <v>42.02035164752445</v>
      </c>
    </row>
    <row r="1670" spans="1:8" x14ac:dyDescent="0.25">
      <c r="A1670" s="6">
        <v>45948</v>
      </c>
      <c r="B1670" s="7">
        <v>1697.5</v>
      </c>
      <c r="C1670">
        <f>+VLOOKUP(A1670,'Undivideable Expenses'!$D$104:$AH$201,31,0)</f>
        <v>14001.88</v>
      </c>
      <c r="D1670" s="7">
        <f t="shared" si="424"/>
        <v>12.123372004330847</v>
      </c>
      <c r="G1670" s="7">
        <f>+VLOOKUP(A1670,'Undivideable Expenses'!D$104:AG$201,30,0)</f>
        <v>3462.9003921568628</v>
      </c>
      <c r="H1670" s="7">
        <f t="shared" ref="H1670:H1678" si="426">+G1670/100*D1670</f>
        <v>419.82029668060818</v>
      </c>
    </row>
    <row r="1671" spans="1:8" x14ac:dyDescent="0.25">
      <c r="A1671" s="6">
        <v>45952</v>
      </c>
      <c r="B1671" s="7">
        <v>3860</v>
      </c>
      <c r="C1671">
        <f>+VLOOKUP(A1671,'Undivideable Expenses'!$D$104:$AH$201,31,0)</f>
        <v>7040</v>
      </c>
      <c r="D1671" s="7">
        <f t="shared" si="424"/>
        <v>54.82954545454546</v>
      </c>
      <c r="G1671" s="7">
        <f>+VLOOKUP(A1671,'Undivideable Expenses'!D$104:AG$201,30,0)</f>
        <v>1928.6219607843141</v>
      </c>
      <c r="H1671" s="7">
        <f t="shared" si="426"/>
        <v>1057.4546546345814</v>
      </c>
    </row>
    <row r="1672" spans="1:8" x14ac:dyDescent="0.25">
      <c r="A1672" s="6">
        <v>45953</v>
      </c>
      <c r="B1672" s="7">
        <v>3187.5</v>
      </c>
      <c r="C1672">
        <f>+VLOOKUP(A1672,'Undivideable Expenses'!$D$104:$AH$201,31,0)</f>
        <v>6420</v>
      </c>
      <c r="D1672" s="7">
        <f t="shared" si="424"/>
        <v>49.649532710280376</v>
      </c>
      <c r="G1672" s="7">
        <f>+VLOOKUP(A1672,'Undivideable Expenses'!D$104:AG$201,30,0)</f>
        <v>1998.5462745098041</v>
      </c>
      <c r="H1672" s="7">
        <f t="shared" si="426"/>
        <v>992.26888629283496</v>
      </c>
    </row>
    <row r="1673" spans="1:8" x14ac:dyDescent="0.25">
      <c r="A1673" s="6">
        <v>45954</v>
      </c>
      <c r="B1673" s="7">
        <v>5032.5</v>
      </c>
      <c r="C1673">
        <f>+VLOOKUP(A1673,'Undivideable Expenses'!$D$104:$AH$201,31,0)</f>
        <v>12080</v>
      </c>
      <c r="D1673" s="7">
        <f t="shared" si="424"/>
        <v>41.659768211920529</v>
      </c>
      <c r="G1673" s="7">
        <f>+VLOOKUP(A1673,'Undivideable Expenses'!D$104:AG$201,30,0)</f>
        <v>2494.6062745098038</v>
      </c>
      <c r="H1673" s="7">
        <f t="shared" si="426"/>
        <v>1039.2471917608102</v>
      </c>
    </row>
    <row r="1674" spans="1:8" x14ac:dyDescent="0.25">
      <c r="A1674" s="6">
        <v>45955</v>
      </c>
      <c r="B1674" s="7">
        <v>3441.25</v>
      </c>
      <c r="C1674">
        <f>+VLOOKUP(A1674,'Undivideable Expenses'!$D$104:$AH$201,31,0)</f>
        <v>9635</v>
      </c>
      <c r="D1674" s="7">
        <f t="shared" si="424"/>
        <v>35.716139076284378</v>
      </c>
      <c r="G1674" s="7">
        <f>+VLOOKUP(A1674,'Undivideable Expenses'!D$104:AG$201,30,0)</f>
        <v>3524.9821568627449</v>
      </c>
      <c r="H1674" s="7">
        <f t="shared" si="426"/>
        <v>1258.9875295593067</v>
      </c>
    </row>
    <row r="1675" spans="1:8" x14ac:dyDescent="0.25">
      <c r="A1675" s="6">
        <v>45957</v>
      </c>
      <c r="B1675" s="7">
        <v>4015</v>
      </c>
      <c r="C1675">
        <f>+VLOOKUP(A1675,'Undivideable Expenses'!$D$104:$AH$201,31,0)</f>
        <v>10282.5</v>
      </c>
      <c r="D1675" s="7">
        <f t="shared" si="424"/>
        <v>39.046924386092876</v>
      </c>
      <c r="G1675" s="7">
        <f>+VLOOKUP(A1675,'Undivideable Expenses'!D$104:AG$201,30,0)</f>
        <v>2931.9709803921569</v>
      </c>
      <c r="H1675" s="7">
        <f t="shared" si="426"/>
        <v>1144.8444917359116</v>
      </c>
    </row>
    <row r="1676" spans="1:8" x14ac:dyDescent="0.25">
      <c r="A1676" s="6">
        <v>45958</v>
      </c>
      <c r="B1676" s="7">
        <v>4133.75</v>
      </c>
      <c r="C1676">
        <f>+VLOOKUP(A1676,'Undivideable Expenses'!$D$104:$AH$201,31,0)</f>
        <v>12300</v>
      </c>
      <c r="D1676" s="7">
        <f t="shared" si="424"/>
        <v>33.607723577235774</v>
      </c>
      <c r="G1676" s="7">
        <f>+VLOOKUP(A1676,'Undivideable Expenses'!D$104:AG$201,30,0)</f>
        <v>3821.4443137254907</v>
      </c>
      <c r="H1676" s="7">
        <f t="shared" si="426"/>
        <v>1284.3004416148574</v>
      </c>
    </row>
    <row r="1677" spans="1:8" x14ac:dyDescent="0.25">
      <c r="A1677" s="6">
        <v>45959</v>
      </c>
      <c r="B1677" s="7">
        <v>2581.25</v>
      </c>
      <c r="C1677">
        <f>+VLOOKUP(A1677,'Undivideable Expenses'!$D$104:$AH$201,31,0)</f>
        <v>13415.3125</v>
      </c>
      <c r="D1677" s="7">
        <f t="shared" si="424"/>
        <v>19.24107246849449</v>
      </c>
      <c r="G1677" s="7">
        <f>+VLOOKUP(A1677,'Undivideable Expenses'!D$104:AG$201,30,0)</f>
        <v>3945.6184313725494</v>
      </c>
      <c r="H1677" s="7">
        <f t="shared" si="426"/>
        <v>759.1793017106678</v>
      </c>
    </row>
    <row r="1678" spans="1:8" x14ac:dyDescent="0.25">
      <c r="A1678" s="6">
        <v>45961</v>
      </c>
      <c r="B1678" s="7">
        <v>183.75</v>
      </c>
      <c r="C1678">
        <f>+VLOOKUP(A1678,'Undivideable Expenses'!$D$104:$AH$201,31,0)</f>
        <v>13331</v>
      </c>
      <c r="D1678" s="7">
        <f t="shared" si="424"/>
        <v>1.3783662140874653</v>
      </c>
      <c r="G1678" s="7">
        <f>+VLOOKUP(A1678,'Undivideable Expenses'!D$104:AG$201,30,0)</f>
        <v>4511.7235294117654</v>
      </c>
      <c r="H1678" s="7">
        <f t="shared" si="426"/>
        <v>62.188072802446321</v>
      </c>
    </row>
    <row r="1682" spans="1:8" x14ac:dyDescent="0.25">
      <c r="A1682" t="s">
        <v>295</v>
      </c>
    </row>
    <row r="1683" spans="1:8" x14ac:dyDescent="0.25">
      <c r="A1683" s="8" t="s">
        <v>6</v>
      </c>
      <c r="B1683" s="8" t="s">
        <v>294</v>
      </c>
      <c r="C1683" s="22" t="s">
        <v>50</v>
      </c>
      <c r="D1683" s="22" t="s">
        <v>9</v>
      </c>
    </row>
    <row r="1684" spans="1:8" x14ac:dyDescent="0.25">
      <c r="A1684" s="6">
        <v>45957</v>
      </c>
      <c r="B1684" s="7">
        <v>697.5</v>
      </c>
      <c r="C1684">
        <f>+VLOOKUP(A1684,'Undivideable Expenses'!$D$104:$AH$201,31,0)</f>
        <v>10282.5</v>
      </c>
      <c r="D1684" s="7">
        <f t="shared" ref="D1684" si="427">+B1684/C1684*100</f>
        <v>6.7833698030634579</v>
      </c>
      <c r="G1684" s="7">
        <f>+VLOOKUP(A1684,'Undivideable Expenses'!D$104:AG$201,30,0)</f>
        <v>2931.9709803921569</v>
      </c>
      <c r="H1684" s="7">
        <f t="shared" ref="H1684" si="428">+G1684/100*D1684</f>
        <v>198.88643411850518</v>
      </c>
    </row>
    <row r="1685" spans="1:8" x14ac:dyDescent="0.25">
      <c r="A1685" s="6">
        <v>45958</v>
      </c>
      <c r="B1685" s="7">
        <v>3640</v>
      </c>
      <c r="C1685">
        <f>+VLOOKUP(A1685,'Undivideable Expenses'!$D$104:$AH$201,31,0)</f>
        <v>12300</v>
      </c>
      <c r="D1685" s="7">
        <f t="shared" ref="D1685:D1691" si="429">+B1685/C1685*100</f>
        <v>29.593495934959353</v>
      </c>
      <c r="G1685" s="7">
        <f>+VLOOKUP(A1685,'Undivideable Expenses'!D$104:AG$201,30,0)</f>
        <v>3821.4443137254907</v>
      </c>
      <c r="H1685" s="7">
        <f t="shared" ref="H1685:H1691" si="430">+G1685/100*D1685</f>
        <v>1130.8989676390884</v>
      </c>
    </row>
    <row r="1686" spans="1:8" x14ac:dyDescent="0.25">
      <c r="A1686" s="6">
        <v>45959</v>
      </c>
      <c r="B1686" s="7">
        <v>3900</v>
      </c>
      <c r="C1686">
        <f>+VLOOKUP(A1686,'Undivideable Expenses'!$D$104:$AH$201,31,0)</f>
        <v>13415.3125</v>
      </c>
      <c r="D1686" s="7">
        <f t="shared" si="429"/>
        <v>29.071257192107897</v>
      </c>
      <c r="G1686" s="7">
        <f>+VLOOKUP(A1686,'Undivideable Expenses'!D$104:AG$201,30,0)</f>
        <v>3945.6184313725494</v>
      </c>
      <c r="H1686" s="7">
        <f t="shared" si="430"/>
        <v>1147.040882003527</v>
      </c>
    </row>
    <row r="1687" spans="1:8" x14ac:dyDescent="0.25">
      <c r="A1687" s="6">
        <v>45960</v>
      </c>
      <c r="B1687" s="7">
        <v>3250</v>
      </c>
      <c r="C1687">
        <f>+VLOOKUP(A1687,'Undivideable Expenses'!$D$104:$AH$201,31,0)</f>
        <v>12639.125</v>
      </c>
      <c r="D1687" s="7">
        <f t="shared" si="429"/>
        <v>25.71380534649353</v>
      </c>
      <c r="G1687" s="7">
        <f>+VLOOKUP(A1687,'Undivideable Expenses'!D$104:AG$201,30,0)</f>
        <v>3560.822941176471</v>
      </c>
      <c r="H1687" s="7">
        <f t="shared" si="430"/>
        <v>915.62307982740356</v>
      </c>
    </row>
    <row r="1688" spans="1:8" x14ac:dyDescent="0.25">
      <c r="A1688" s="6">
        <v>45961</v>
      </c>
      <c r="B1688" s="7">
        <v>2778.75</v>
      </c>
      <c r="C1688">
        <f>+VLOOKUP(A1688,'Undivideable Expenses'!$D$104:$AH$201,31,0)</f>
        <v>13331</v>
      </c>
      <c r="D1688" s="7">
        <f t="shared" si="429"/>
        <v>20.844272747730852</v>
      </c>
      <c r="G1688" s="7">
        <f>+VLOOKUP(A1688,'Undivideable Expenses'!D$104:AG$201,30,0)</f>
        <v>4511.7235294117654</v>
      </c>
      <c r="H1688" s="7">
        <f t="shared" si="430"/>
        <v>940.43595809413716</v>
      </c>
    </row>
    <row r="1689" spans="1:8" x14ac:dyDescent="0.25">
      <c r="A1689" s="6">
        <v>45962</v>
      </c>
      <c r="B1689" s="7">
        <v>1073.75</v>
      </c>
      <c r="C1689">
        <v>12019.375</v>
      </c>
      <c r="D1689" s="7">
        <f t="shared" si="429"/>
        <v>8.9334927980864229</v>
      </c>
      <c r="G1689" s="7">
        <v>3053.1982352941177</v>
      </c>
      <c r="H1689" s="7">
        <f t="shared" si="430"/>
        <v>272.75724446130175</v>
      </c>
    </row>
    <row r="1690" spans="1:8" x14ac:dyDescent="0.25">
      <c r="A1690" s="6">
        <v>45963</v>
      </c>
      <c r="B1690" s="7">
        <v>1990</v>
      </c>
      <c r="C1690">
        <v>12000</v>
      </c>
      <c r="D1690" s="7">
        <f t="shared" si="429"/>
        <v>16.583333333333332</v>
      </c>
      <c r="G1690" s="7">
        <v>1985.8890196078428</v>
      </c>
      <c r="H1690" s="7">
        <f t="shared" si="430"/>
        <v>329.32659575163387</v>
      </c>
    </row>
    <row r="1691" spans="1:8" x14ac:dyDescent="0.25">
      <c r="A1691" s="6">
        <v>45964</v>
      </c>
      <c r="B1691" s="7">
        <v>1143.75</v>
      </c>
      <c r="C1691">
        <v>9187.5</v>
      </c>
      <c r="D1691" s="7">
        <f t="shared" si="429"/>
        <v>12.448979591836734</v>
      </c>
      <c r="G1691" s="7">
        <v>2541.4023529411766</v>
      </c>
      <c r="H1691" s="7">
        <f t="shared" si="430"/>
        <v>316.37866026410563</v>
      </c>
    </row>
    <row r="1694" spans="1:8" x14ac:dyDescent="0.25">
      <c r="A1694" t="s">
        <v>297</v>
      </c>
      <c r="B1694" t="s">
        <v>5</v>
      </c>
    </row>
    <row r="1695" spans="1:8" x14ac:dyDescent="0.25">
      <c r="A1695" s="8" t="s">
        <v>6</v>
      </c>
      <c r="B1695" s="8" t="s">
        <v>296</v>
      </c>
      <c r="C1695" s="22" t="s">
        <v>50</v>
      </c>
      <c r="D1695" s="22" t="s">
        <v>9</v>
      </c>
    </row>
    <row r="1696" spans="1:8" x14ac:dyDescent="0.25">
      <c r="A1696" s="6">
        <v>45944</v>
      </c>
      <c r="B1696" s="7">
        <v>260</v>
      </c>
      <c r="C1696">
        <f>+VLOOKUP(A1696,'Undivideable Expenses'!$D$104:$AH$201,31,0)</f>
        <v>15526.25</v>
      </c>
      <c r="D1696" s="7">
        <f t="shared" ref="D1696:D1710" si="431">+B1696/C1696*100</f>
        <v>1.6745833668786732</v>
      </c>
      <c r="G1696" s="7">
        <f>+VLOOKUP(A1696,'Undivideable Expenses'!D$104:AG$201,30,0)</f>
        <v>3114.9388235294118</v>
      </c>
      <c r="H1696" s="7">
        <f t="shared" ref="H1696" si="432">+G1696/100*D1696</f>
        <v>52.162247427269754</v>
      </c>
    </row>
    <row r="1697" spans="1:8" x14ac:dyDescent="0.25">
      <c r="A1697" s="6">
        <v>45945</v>
      </c>
      <c r="B1697" s="7">
        <v>560</v>
      </c>
      <c r="C1697">
        <f>+VLOOKUP(A1697,'Undivideable Expenses'!$D$104:$AH$201,31,0)</f>
        <v>15747.5</v>
      </c>
      <c r="D1697" s="7">
        <f t="shared" si="431"/>
        <v>3.5561200190506432</v>
      </c>
      <c r="G1697" s="7">
        <f>+VLOOKUP(A1697,'Undivideable Expenses'!D$104:AG$201,30,0)</f>
        <v>3951.51431372549</v>
      </c>
      <c r="H1697" s="7">
        <f t="shared" ref="H1697:H1710" si="433">+G1697/100*D1697</f>
        <v>140.52059156604381</v>
      </c>
    </row>
    <row r="1698" spans="1:8" x14ac:dyDescent="0.25">
      <c r="A1698" s="6">
        <v>45946</v>
      </c>
      <c r="B1698" s="7">
        <v>130</v>
      </c>
      <c r="C1698">
        <f>+VLOOKUP(A1698,'Undivideable Expenses'!$D$104:$AH$201,31,0)</f>
        <v>15233.76</v>
      </c>
      <c r="D1698" s="7">
        <f t="shared" si="431"/>
        <v>0.85336778313430173</v>
      </c>
      <c r="G1698" s="7">
        <f>+VLOOKUP(A1698,'Undivideable Expenses'!D$104:AG$201,30,0)</f>
        <v>3988.4435294117652</v>
      </c>
      <c r="H1698" s="7">
        <f t="shared" si="433"/>
        <v>34.036092128504684</v>
      </c>
    </row>
    <row r="1699" spans="1:8" x14ac:dyDescent="0.25">
      <c r="A1699" s="6">
        <v>45947</v>
      </c>
      <c r="B1699" s="7">
        <v>260</v>
      </c>
      <c r="C1699">
        <f>+VLOOKUP(A1699,'Undivideable Expenses'!$D$104:$AH$201,31,0)</f>
        <v>15503.76</v>
      </c>
      <c r="D1699" s="7">
        <f t="shared" si="431"/>
        <v>1.6770125440538293</v>
      </c>
      <c r="G1699" s="7">
        <f>+VLOOKUP(A1699,'Undivideable Expenses'!D$104:AG$201,30,0)</f>
        <v>3948.3239215686281</v>
      </c>
      <c r="H1699" s="7">
        <f t="shared" si="433"/>
        <v>66.213887444583975</v>
      </c>
    </row>
    <row r="1700" spans="1:8" x14ac:dyDescent="0.25">
      <c r="A1700" s="6">
        <v>45962</v>
      </c>
      <c r="B1700" s="7">
        <v>835</v>
      </c>
      <c r="C1700">
        <f>+VLOOKUP(A1700,'Undivideable Expenses'!$D$205:$AH$234,31,0)</f>
        <v>12499.375</v>
      </c>
      <c r="D1700" s="7">
        <f t="shared" si="431"/>
        <v>6.6803340167008356</v>
      </c>
      <c r="G1700" s="7">
        <f>+VLOOKUP(A1700,'Undivideable Expenses'!$D$205:$AG$234,30,0)</f>
        <v>4164.3082352941174</v>
      </c>
      <c r="H1700" s="7">
        <f t="shared" si="433"/>
        <v>278.18969960262717</v>
      </c>
    </row>
    <row r="1701" spans="1:8" x14ac:dyDescent="0.25">
      <c r="A1701" s="6">
        <v>45963</v>
      </c>
      <c r="B1701" s="7">
        <v>1163.3333333333333</v>
      </c>
      <c r="C1701">
        <f>+VLOOKUP(A1701,'Undivideable Expenses'!$D$205:$AH$234,31,0)</f>
        <v>12690</v>
      </c>
      <c r="D1701" s="7">
        <f t="shared" si="431"/>
        <v>9.1673233517205155</v>
      </c>
      <c r="G1701" s="7">
        <f>+VLOOKUP(A1701,'Undivideable Expenses'!$D$205:$AG$234,30,0)</f>
        <v>1985.8890196078428</v>
      </c>
      <c r="H1701" s="7">
        <f t="shared" si="433"/>
        <v>182.05286783376337</v>
      </c>
    </row>
    <row r="1702" spans="1:8" x14ac:dyDescent="0.25">
      <c r="A1702" s="6">
        <v>45964</v>
      </c>
      <c r="B1702" s="7">
        <v>1092.5</v>
      </c>
      <c r="C1702">
        <f>+VLOOKUP(A1702,'Undivideable Expenses'!$D$205:$AH$234,31,0)</f>
        <v>9733.75</v>
      </c>
      <c r="D1702" s="7">
        <f t="shared" si="431"/>
        <v>11.223834596121742</v>
      </c>
      <c r="G1702" s="7">
        <f>+VLOOKUP(A1702,'Undivideable Expenses'!$D$205:$AG$234,30,0)</f>
        <v>3567.0423529411769</v>
      </c>
      <c r="H1702" s="7">
        <f t="shared" si="433"/>
        <v>400.35893366772683</v>
      </c>
    </row>
    <row r="1703" spans="1:8" x14ac:dyDescent="0.25">
      <c r="A1703" s="6">
        <v>45965</v>
      </c>
      <c r="B1703" s="7">
        <v>910</v>
      </c>
      <c r="C1703">
        <f>+VLOOKUP(A1703,'Undivideable Expenses'!$D$205:$AH$234,31,0)</f>
        <v>14487.5</v>
      </c>
      <c r="D1703" s="7">
        <f t="shared" si="431"/>
        <v>6.2812769628990504</v>
      </c>
      <c r="G1703" s="7">
        <f>+VLOOKUP(A1703,'Undivideable Expenses'!$D$205:$AG$234,30,0)</f>
        <v>3823.6035294117646</v>
      </c>
      <c r="H1703" s="7">
        <f t="shared" si="433"/>
        <v>240.17112764553619</v>
      </c>
    </row>
    <row r="1704" spans="1:8" x14ac:dyDescent="0.25">
      <c r="A1704" s="6">
        <v>45966</v>
      </c>
      <c r="B1704" s="7">
        <v>220</v>
      </c>
      <c r="C1704">
        <f>+VLOOKUP(A1704,'Undivideable Expenses'!$D$205:$AH$234,31,0)</f>
        <v>13763.75</v>
      </c>
      <c r="D1704" s="7">
        <f t="shared" si="431"/>
        <v>1.5984015984015985</v>
      </c>
      <c r="G1704" s="7">
        <f>+VLOOKUP(A1704,'Undivideable Expenses'!$D$205:$AG$234,30,0)</f>
        <v>3667.3513725490197</v>
      </c>
      <c r="H1704" s="7">
        <f t="shared" si="433"/>
        <v>58.619002957826488</v>
      </c>
    </row>
    <row r="1705" spans="1:8" x14ac:dyDescent="0.25">
      <c r="A1705" s="6">
        <v>45967</v>
      </c>
      <c r="B1705" s="7">
        <v>262.5</v>
      </c>
      <c r="C1705">
        <f>+VLOOKUP(A1705,'Undivideable Expenses'!$D$205:$AH$234,31,0)</f>
        <v>14320.25</v>
      </c>
      <c r="D1705" s="7">
        <f t="shared" si="431"/>
        <v>1.833068556764023</v>
      </c>
      <c r="G1705" s="7">
        <f>+VLOOKUP(A1705,'Undivideable Expenses'!$D$205:$AG$234,30,0)</f>
        <v>3896.2039215686277</v>
      </c>
      <c r="H1705" s="7">
        <f t="shared" si="433"/>
        <v>71.420088993681304</v>
      </c>
    </row>
    <row r="1706" spans="1:8" x14ac:dyDescent="0.25">
      <c r="A1706" s="6">
        <v>45968</v>
      </c>
      <c r="B1706" s="7">
        <v>1397.5</v>
      </c>
      <c r="C1706">
        <f>+VLOOKUP(A1706,'Undivideable Expenses'!$D$205:$AH$234,31,0)</f>
        <v>14450.5</v>
      </c>
      <c r="D1706" s="7">
        <f t="shared" si="431"/>
        <v>9.6709456420193067</v>
      </c>
      <c r="G1706" s="7">
        <f>+VLOOKUP(A1706,'Undivideable Expenses'!$D$205:$AG$234,30,0)</f>
        <v>3922.2435294117645</v>
      </c>
      <c r="H1706" s="7">
        <f t="shared" si="433"/>
        <v>379.31803967703127</v>
      </c>
    </row>
    <row r="1707" spans="1:8" x14ac:dyDescent="0.25">
      <c r="A1707" s="6">
        <v>45969</v>
      </c>
      <c r="B1707" s="7">
        <v>705</v>
      </c>
      <c r="C1707">
        <f>+VLOOKUP(A1707,'Undivideable Expenses'!$D$205:$AH$234,31,0)</f>
        <v>14387</v>
      </c>
      <c r="D1707" s="7">
        <f t="shared" si="431"/>
        <v>4.9002571766177798</v>
      </c>
      <c r="G1707" s="7">
        <f>+VLOOKUP(A1707,'Undivideable Expenses'!$D$205:$AG$234,30,0)</f>
        <v>4136.8680392156866</v>
      </c>
      <c r="H1707" s="7">
        <f t="shared" si="433"/>
        <v>202.71717297887392</v>
      </c>
    </row>
    <row r="1708" spans="1:8" x14ac:dyDescent="0.25">
      <c r="A1708" s="6">
        <v>45971</v>
      </c>
      <c r="B1708" s="7">
        <v>762.5</v>
      </c>
      <c r="C1708">
        <f>+VLOOKUP(A1708,'Undivideable Expenses'!$D$205:$AH$234,31,0)</f>
        <v>14205.5</v>
      </c>
      <c r="D1708" s="7">
        <f t="shared" si="431"/>
        <v>5.3676392946394005</v>
      </c>
      <c r="G1708" s="7">
        <f>+VLOOKUP(A1708,'Undivideable Expenses'!$D$205:$AG$234,30,0)</f>
        <v>2817.6878431372547</v>
      </c>
      <c r="H1708" s="7">
        <f t="shared" si="433"/>
        <v>151.24331986851269</v>
      </c>
    </row>
    <row r="1709" spans="1:8" x14ac:dyDescent="0.25">
      <c r="A1709" s="6">
        <v>45983</v>
      </c>
      <c r="B1709" s="7">
        <v>205</v>
      </c>
      <c r="C1709">
        <f>+VLOOKUP(A1709,'Undivideable Expenses'!$D$205:$AH$234,31,0)</f>
        <v>12908.125</v>
      </c>
      <c r="D1709" s="7">
        <f t="shared" si="431"/>
        <v>1.5881470004357721</v>
      </c>
      <c r="G1709" s="7">
        <f>+VLOOKUP(A1709,'Undivideable Expenses'!$D$205:$AG$234,30,0)</f>
        <v>3150.2019607843135</v>
      </c>
      <c r="H1709" s="7">
        <f t="shared" si="433"/>
        <v>50.029837947864948</v>
      </c>
    </row>
    <row r="1710" spans="1:8" x14ac:dyDescent="0.25">
      <c r="A1710" s="6">
        <v>45985</v>
      </c>
      <c r="B1710" s="7">
        <v>130</v>
      </c>
      <c r="C1710">
        <f>+VLOOKUP(A1710,'Undivideable Expenses'!$D$205:$AH$234,31,0)</f>
        <v>14891.25</v>
      </c>
      <c r="D1710" s="7">
        <f t="shared" si="431"/>
        <v>0.87299588684630236</v>
      </c>
      <c r="G1710" s="7">
        <f>+VLOOKUP(A1710,'Undivideable Expenses'!$D$205:$AG$234,30,0)</f>
        <v>3524.9199999999996</v>
      </c>
      <c r="H1710" s="7">
        <f t="shared" si="433"/>
        <v>30.772406614622678</v>
      </c>
    </row>
  </sheetData>
  <pageMargins left="0.7" right="0.7" top="0.75" bottom="0.75" header="0.3" footer="0.3"/>
  <pageSetup paperSize="9" scale="49" orientation="landscape" r:id="rId1"/>
  <rowBreaks count="1" manualBreakCount="1">
    <brk id="27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FF3B-FBEB-40BB-B84D-A431B028F1E8}">
  <dimension ref="B1:AN235"/>
  <sheetViews>
    <sheetView topLeftCell="O204" zoomScaleNormal="100" workbookViewId="0">
      <selection activeCell="D205" sqref="D205"/>
    </sheetView>
  </sheetViews>
  <sheetFormatPr defaultRowHeight="15" x14ac:dyDescent="0.25"/>
  <cols>
    <col min="3" max="3" width="5.42578125" customWidth="1"/>
    <col min="4" max="4" width="10.42578125" bestFit="1" customWidth="1"/>
    <col min="5" max="5" width="17.5703125" bestFit="1" customWidth="1"/>
    <col min="7" max="7" width="12.28515625" bestFit="1" customWidth="1"/>
    <col min="21" max="21" width="10.42578125" bestFit="1" customWidth="1"/>
    <col min="22" max="22" width="14.140625" bestFit="1" customWidth="1"/>
    <col min="23" max="23" width="11.28515625" style="12" bestFit="1" customWidth="1"/>
    <col min="33" max="33" width="14.140625" bestFit="1" customWidth="1"/>
    <col min="34" max="34" width="24.5703125" bestFit="1" customWidth="1"/>
  </cols>
  <sheetData>
    <row r="1" spans="4:23" x14ac:dyDescent="0.25">
      <c r="G1">
        <v>27000</v>
      </c>
      <c r="H1">
        <f>+G1/31</f>
        <v>870.9677419354839</v>
      </c>
      <c r="O1">
        <v>16000</v>
      </c>
      <c r="Q1">
        <f>+O1/31</f>
        <v>516.12903225806451</v>
      </c>
    </row>
    <row r="2" spans="4:23" x14ac:dyDescent="0.25">
      <c r="D2" s="11" t="s">
        <v>116</v>
      </c>
      <c r="G2" t="s">
        <v>117</v>
      </c>
      <c r="N2" t="s">
        <v>3</v>
      </c>
      <c r="U2" s="11" t="s">
        <v>116</v>
      </c>
    </row>
    <row r="3" spans="4:23" x14ac:dyDescent="0.25">
      <c r="V3" t="s">
        <v>8</v>
      </c>
      <c r="W3" s="12" t="s">
        <v>118</v>
      </c>
    </row>
    <row r="4" spans="4:23" x14ac:dyDescent="0.25">
      <c r="D4" s="30">
        <v>45778</v>
      </c>
      <c r="G4">
        <v>12.19</v>
      </c>
      <c r="H4">
        <v>870.9677419354839</v>
      </c>
      <c r="I4">
        <f>+H4/9.5</f>
        <v>91.68081494057725</v>
      </c>
      <c r="J4">
        <f>+I4*G4</f>
        <v>1117.5891341256365</v>
      </c>
      <c r="L4">
        <f>+J4+K4</f>
        <v>1117.5891341256365</v>
      </c>
      <c r="N4">
        <v>12.28</v>
      </c>
      <c r="O4">
        <v>516.12</v>
      </c>
      <c r="P4">
        <f>+O4/9.5</f>
        <v>54.328421052631576</v>
      </c>
      <c r="Q4">
        <f>+P4*N4</f>
        <v>667.15301052631571</v>
      </c>
      <c r="S4">
        <f>+Q4+R4</f>
        <v>667.15301052631571</v>
      </c>
      <c r="U4" s="30">
        <v>45778</v>
      </c>
      <c r="V4" s="7">
        <f>+S4+L4</f>
        <v>1784.7421446519522</v>
      </c>
      <c r="W4" s="12">
        <v>20405.75</v>
      </c>
    </row>
    <row r="5" spans="4:23" x14ac:dyDescent="0.25">
      <c r="D5" s="30">
        <v>45779</v>
      </c>
      <c r="G5">
        <v>12.18</v>
      </c>
      <c r="H5">
        <v>870.9677419354839</v>
      </c>
      <c r="I5">
        <f t="shared" ref="I5:I34" si="0">+H5/9.5</f>
        <v>91.68081494057725</v>
      </c>
      <c r="J5">
        <f t="shared" ref="J5:J34" si="1">+I5*G5</f>
        <v>1116.6723259762309</v>
      </c>
      <c r="L5">
        <f t="shared" ref="L5:L34" si="2">+J5+K5</f>
        <v>1116.6723259762309</v>
      </c>
      <c r="N5">
        <v>7.27</v>
      </c>
      <c r="O5">
        <v>516.12</v>
      </c>
      <c r="P5">
        <f t="shared" ref="P5:P34" si="3">+O5/9.5</f>
        <v>54.328421052631576</v>
      </c>
      <c r="Q5">
        <f t="shared" ref="Q5:Q34" si="4">+P5*N5</f>
        <v>394.96762105263156</v>
      </c>
      <c r="S5">
        <f t="shared" ref="S5:S34" si="5">+Q5+R5</f>
        <v>394.96762105263156</v>
      </c>
      <c r="U5" s="30">
        <v>45779</v>
      </c>
      <c r="V5" s="7">
        <f t="shared" ref="V5:V34" si="6">+S5+L5</f>
        <v>1511.6399470288625</v>
      </c>
      <c r="W5" s="12">
        <v>18853.375</v>
      </c>
    </row>
    <row r="6" spans="4:23" x14ac:dyDescent="0.25">
      <c r="D6" s="30">
        <v>45780</v>
      </c>
      <c r="G6">
        <v>9.32</v>
      </c>
      <c r="H6">
        <v>870.9677419354839</v>
      </c>
      <c r="I6">
        <f t="shared" si="0"/>
        <v>91.68081494057725</v>
      </c>
      <c r="J6">
        <f t="shared" si="1"/>
        <v>854.46519524617997</v>
      </c>
      <c r="L6">
        <f t="shared" si="2"/>
        <v>854.46519524617997</v>
      </c>
      <c r="N6">
        <v>9.18</v>
      </c>
      <c r="O6">
        <v>516.12</v>
      </c>
      <c r="P6">
        <f t="shared" si="3"/>
        <v>54.328421052631576</v>
      </c>
      <c r="Q6">
        <f t="shared" si="4"/>
        <v>498.73490526315783</v>
      </c>
      <c r="S6">
        <f t="shared" si="5"/>
        <v>498.73490526315783</v>
      </c>
      <c r="U6" s="30">
        <v>45780</v>
      </c>
      <c r="V6" s="7">
        <f t="shared" si="6"/>
        <v>1353.2001005093377</v>
      </c>
      <c r="W6" s="12">
        <v>6329.875</v>
      </c>
    </row>
    <row r="7" spans="4:23" x14ac:dyDescent="0.25">
      <c r="D7" s="39">
        <v>45781</v>
      </c>
      <c r="G7">
        <v>9.31</v>
      </c>
      <c r="H7">
        <v>870.9677419354839</v>
      </c>
      <c r="I7">
        <f t="shared" si="0"/>
        <v>91.68081494057725</v>
      </c>
      <c r="J7">
        <f t="shared" si="1"/>
        <v>853.54838709677426</v>
      </c>
      <c r="K7">
        <v>870.9677419354839</v>
      </c>
      <c r="L7">
        <f t="shared" si="2"/>
        <v>1724.516129032258</v>
      </c>
      <c r="N7">
        <v>9.3000000000000007</v>
      </c>
      <c r="O7">
        <v>516.12</v>
      </c>
      <c r="P7">
        <f t="shared" si="3"/>
        <v>54.328421052631576</v>
      </c>
      <c r="Q7">
        <f t="shared" si="4"/>
        <v>505.25431578947371</v>
      </c>
      <c r="R7">
        <v>516.12903225806451</v>
      </c>
      <c r="S7">
        <f t="shared" si="5"/>
        <v>1021.3833480475382</v>
      </c>
      <c r="U7" s="39">
        <v>45781</v>
      </c>
      <c r="V7" s="7">
        <f t="shared" si="6"/>
        <v>2745.8994770797963</v>
      </c>
      <c r="W7" s="12">
        <v>9181.1428571428569</v>
      </c>
    </row>
    <row r="8" spans="4:23" x14ac:dyDescent="0.25">
      <c r="D8" s="30">
        <v>45782</v>
      </c>
      <c r="G8">
        <v>10.53</v>
      </c>
      <c r="H8">
        <v>870.9677419354839</v>
      </c>
      <c r="I8">
        <f t="shared" si="0"/>
        <v>91.68081494057725</v>
      </c>
      <c r="J8">
        <f t="shared" si="1"/>
        <v>965.39898132427834</v>
      </c>
      <c r="L8">
        <f t="shared" si="2"/>
        <v>965.39898132427834</v>
      </c>
      <c r="N8">
        <v>12.3</v>
      </c>
      <c r="O8">
        <v>516.12</v>
      </c>
      <c r="P8">
        <f t="shared" si="3"/>
        <v>54.328421052631576</v>
      </c>
      <c r="Q8">
        <f t="shared" si="4"/>
        <v>668.23957894736839</v>
      </c>
      <c r="S8">
        <f t="shared" si="5"/>
        <v>668.23957894736839</v>
      </c>
      <c r="U8" s="30">
        <v>45782</v>
      </c>
      <c r="V8" s="7">
        <f t="shared" si="6"/>
        <v>1633.6385602716468</v>
      </c>
      <c r="W8" s="12">
        <v>14211</v>
      </c>
    </row>
    <row r="9" spans="4:23" x14ac:dyDescent="0.25">
      <c r="D9" s="30">
        <v>45783</v>
      </c>
      <c r="G9">
        <v>10.14</v>
      </c>
      <c r="H9">
        <v>870.9677419354839</v>
      </c>
      <c r="I9">
        <f t="shared" si="0"/>
        <v>91.68081494057725</v>
      </c>
      <c r="J9">
        <f t="shared" si="1"/>
        <v>929.64346349745335</v>
      </c>
      <c r="L9">
        <f t="shared" si="2"/>
        <v>929.64346349745335</v>
      </c>
      <c r="N9">
        <v>12.05</v>
      </c>
      <c r="O9">
        <v>516.12</v>
      </c>
      <c r="P9">
        <f t="shared" si="3"/>
        <v>54.328421052631576</v>
      </c>
      <c r="Q9">
        <f t="shared" si="4"/>
        <v>654.65747368421057</v>
      </c>
      <c r="S9">
        <f t="shared" si="5"/>
        <v>654.65747368421057</v>
      </c>
      <c r="U9" s="30">
        <v>45783</v>
      </c>
      <c r="V9" s="7">
        <f t="shared" si="6"/>
        <v>1584.3009371816638</v>
      </c>
      <c r="W9" s="12">
        <v>14709.75</v>
      </c>
    </row>
    <row r="10" spans="4:23" x14ac:dyDescent="0.25">
      <c r="D10" s="30">
        <v>45784</v>
      </c>
      <c r="G10">
        <v>11.23</v>
      </c>
      <c r="H10">
        <v>870.9677419354839</v>
      </c>
      <c r="I10">
        <f t="shared" si="0"/>
        <v>91.68081494057725</v>
      </c>
      <c r="J10">
        <f t="shared" si="1"/>
        <v>1029.5755517826826</v>
      </c>
      <c r="L10">
        <f t="shared" si="2"/>
        <v>1029.5755517826826</v>
      </c>
      <c r="N10">
        <v>12.31</v>
      </c>
      <c r="O10">
        <v>516.12</v>
      </c>
      <c r="P10">
        <f t="shared" si="3"/>
        <v>54.328421052631576</v>
      </c>
      <c r="Q10">
        <f t="shared" si="4"/>
        <v>668.78286315789478</v>
      </c>
      <c r="S10">
        <f t="shared" si="5"/>
        <v>668.78286315789478</v>
      </c>
      <c r="U10" s="30">
        <v>45784</v>
      </c>
      <c r="V10" s="7">
        <f t="shared" si="6"/>
        <v>1698.3584149405774</v>
      </c>
      <c r="W10" s="12">
        <v>16863.625</v>
      </c>
    </row>
    <row r="11" spans="4:23" x14ac:dyDescent="0.25">
      <c r="D11" s="30">
        <v>45785</v>
      </c>
      <c r="G11">
        <v>11.57</v>
      </c>
      <c r="H11">
        <v>870.9677419354839</v>
      </c>
      <c r="I11">
        <f t="shared" si="0"/>
        <v>91.68081494057725</v>
      </c>
      <c r="J11">
        <f t="shared" si="1"/>
        <v>1060.7470288624788</v>
      </c>
      <c r="L11">
        <f t="shared" si="2"/>
        <v>1060.7470288624788</v>
      </c>
      <c r="N11">
        <v>11.49</v>
      </c>
      <c r="O11">
        <v>516.12</v>
      </c>
      <c r="P11">
        <f t="shared" si="3"/>
        <v>54.328421052631576</v>
      </c>
      <c r="Q11">
        <f t="shared" si="4"/>
        <v>624.2335578947368</v>
      </c>
      <c r="S11">
        <f t="shared" si="5"/>
        <v>624.2335578947368</v>
      </c>
      <c r="U11" s="30">
        <v>45785</v>
      </c>
      <c r="V11" s="7">
        <f t="shared" si="6"/>
        <v>1684.9805867572156</v>
      </c>
      <c r="W11" s="12">
        <v>16241.5</v>
      </c>
    </row>
    <row r="12" spans="4:23" x14ac:dyDescent="0.25">
      <c r="D12" s="30">
        <v>45786</v>
      </c>
      <c r="G12">
        <v>12.28</v>
      </c>
      <c r="H12">
        <v>870.9677419354839</v>
      </c>
      <c r="I12">
        <f t="shared" si="0"/>
        <v>91.68081494057725</v>
      </c>
      <c r="J12">
        <f t="shared" si="1"/>
        <v>1125.8404074702885</v>
      </c>
      <c r="L12">
        <f t="shared" si="2"/>
        <v>1125.8404074702885</v>
      </c>
      <c r="N12">
        <v>12</v>
      </c>
      <c r="O12">
        <v>516.12</v>
      </c>
      <c r="P12">
        <f t="shared" si="3"/>
        <v>54.328421052631576</v>
      </c>
      <c r="Q12">
        <f t="shared" si="4"/>
        <v>651.94105263157894</v>
      </c>
      <c r="S12">
        <f t="shared" si="5"/>
        <v>651.94105263157894</v>
      </c>
      <c r="U12" s="30">
        <v>45786</v>
      </c>
      <c r="V12" s="7">
        <f t="shared" si="6"/>
        <v>1777.7814601018674</v>
      </c>
      <c r="W12" s="12">
        <v>16542.875</v>
      </c>
    </row>
    <row r="13" spans="4:23" x14ac:dyDescent="0.25">
      <c r="D13" s="30">
        <v>45787</v>
      </c>
      <c r="G13">
        <v>10.08</v>
      </c>
      <c r="H13">
        <v>870.9677419354839</v>
      </c>
      <c r="I13">
        <f t="shared" si="0"/>
        <v>91.68081494057725</v>
      </c>
      <c r="J13">
        <f t="shared" si="1"/>
        <v>924.14261460101864</v>
      </c>
      <c r="L13">
        <f t="shared" si="2"/>
        <v>924.14261460101864</v>
      </c>
      <c r="N13">
        <v>9.18</v>
      </c>
      <c r="O13">
        <v>516.12</v>
      </c>
      <c r="P13">
        <f t="shared" si="3"/>
        <v>54.328421052631576</v>
      </c>
      <c r="Q13">
        <f t="shared" si="4"/>
        <v>498.73490526315783</v>
      </c>
      <c r="S13">
        <f t="shared" si="5"/>
        <v>498.73490526315783</v>
      </c>
      <c r="U13" s="30">
        <v>45787</v>
      </c>
      <c r="V13" s="7">
        <f t="shared" si="6"/>
        <v>1422.8775198641765</v>
      </c>
      <c r="W13" s="12">
        <v>11656.875</v>
      </c>
    </row>
    <row r="14" spans="4:23" x14ac:dyDescent="0.25">
      <c r="D14" s="39">
        <v>45788</v>
      </c>
      <c r="G14">
        <v>0</v>
      </c>
      <c r="H14">
        <v>870.9677419354839</v>
      </c>
      <c r="I14">
        <f t="shared" si="0"/>
        <v>91.68081494057725</v>
      </c>
      <c r="J14">
        <f t="shared" si="1"/>
        <v>0</v>
      </c>
      <c r="K14">
        <v>870.9677419354839</v>
      </c>
      <c r="L14">
        <f t="shared" si="2"/>
        <v>870.9677419354839</v>
      </c>
      <c r="N14">
        <v>0</v>
      </c>
      <c r="O14">
        <v>516.12</v>
      </c>
      <c r="P14">
        <f t="shared" si="3"/>
        <v>54.328421052631576</v>
      </c>
      <c r="Q14">
        <f t="shared" si="4"/>
        <v>0</v>
      </c>
      <c r="R14">
        <v>516.12903225806451</v>
      </c>
      <c r="S14">
        <f t="shared" si="5"/>
        <v>516.12903225806451</v>
      </c>
      <c r="U14" s="39">
        <v>45788</v>
      </c>
      <c r="V14" s="7">
        <f t="shared" si="6"/>
        <v>1387.0967741935483</v>
      </c>
      <c r="W14" s="12">
        <v>0</v>
      </c>
    </row>
    <row r="15" spans="4:23" x14ac:dyDescent="0.25">
      <c r="D15" s="30">
        <v>45789</v>
      </c>
      <c r="G15">
        <v>9.26</v>
      </c>
      <c r="H15">
        <v>870.9677419354839</v>
      </c>
      <c r="I15">
        <f t="shared" si="0"/>
        <v>91.68081494057725</v>
      </c>
      <c r="J15">
        <f t="shared" si="1"/>
        <v>848.96434634974526</v>
      </c>
      <c r="L15">
        <f t="shared" si="2"/>
        <v>848.96434634974526</v>
      </c>
      <c r="N15">
        <v>0</v>
      </c>
      <c r="O15">
        <v>516.12</v>
      </c>
      <c r="P15">
        <f t="shared" si="3"/>
        <v>54.328421052631576</v>
      </c>
      <c r="Q15">
        <f t="shared" si="4"/>
        <v>0</v>
      </c>
      <c r="S15">
        <f t="shared" si="5"/>
        <v>0</v>
      </c>
      <c r="U15" s="30">
        <v>45789</v>
      </c>
      <c r="V15" s="7">
        <f t="shared" si="6"/>
        <v>848.96434634974526</v>
      </c>
      <c r="W15" s="12">
        <v>11583.75</v>
      </c>
    </row>
    <row r="16" spans="4:23" x14ac:dyDescent="0.25">
      <c r="D16" s="30">
        <v>45790</v>
      </c>
      <c r="G16">
        <v>12.38</v>
      </c>
      <c r="H16">
        <v>870.9677419354839</v>
      </c>
      <c r="I16">
        <f t="shared" si="0"/>
        <v>91.68081494057725</v>
      </c>
      <c r="J16">
        <f t="shared" si="1"/>
        <v>1135.0084889643465</v>
      </c>
      <c r="L16">
        <f t="shared" si="2"/>
        <v>1135.0084889643465</v>
      </c>
      <c r="N16">
        <v>0</v>
      </c>
      <c r="O16">
        <v>516.12</v>
      </c>
      <c r="P16">
        <f t="shared" si="3"/>
        <v>54.328421052631576</v>
      </c>
      <c r="Q16">
        <f t="shared" si="4"/>
        <v>0</v>
      </c>
      <c r="S16">
        <f t="shared" si="5"/>
        <v>0</v>
      </c>
      <c r="U16" s="30">
        <v>45790</v>
      </c>
      <c r="V16" s="7">
        <f t="shared" si="6"/>
        <v>1135.0084889643465</v>
      </c>
      <c r="W16" s="12">
        <v>13642.875</v>
      </c>
    </row>
    <row r="17" spans="4:23" x14ac:dyDescent="0.25">
      <c r="D17" s="30">
        <v>45791</v>
      </c>
      <c r="G17">
        <v>12.05</v>
      </c>
      <c r="H17">
        <v>870.9677419354839</v>
      </c>
      <c r="I17">
        <f t="shared" si="0"/>
        <v>91.68081494057725</v>
      </c>
      <c r="J17">
        <f t="shared" si="1"/>
        <v>1104.7538200339559</v>
      </c>
      <c r="L17">
        <f t="shared" si="2"/>
        <v>1104.7538200339559</v>
      </c>
      <c r="N17">
        <v>0</v>
      </c>
      <c r="O17">
        <v>516.12</v>
      </c>
      <c r="P17">
        <f t="shared" si="3"/>
        <v>54.328421052631576</v>
      </c>
      <c r="Q17">
        <f t="shared" si="4"/>
        <v>0</v>
      </c>
      <c r="S17">
        <f t="shared" si="5"/>
        <v>0</v>
      </c>
      <c r="U17" s="30">
        <v>45791</v>
      </c>
      <c r="V17" s="7">
        <f t="shared" si="6"/>
        <v>1104.7538200339559</v>
      </c>
      <c r="W17" s="12">
        <v>15322</v>
      </c>
    </row>
    <row r="18" spans="4:23" x14ac:dyDescent="0.25">
      <c r="D18" s="30">
        <v>45792</v>
      </c>
      <c r="G18">
        <v>11.31</v>
      </c>
      <c r="H18">
        <v>870.9677419354839</v>
      </c>
      <c r="I18">
        <f t="shared" si="0"/>
        <v>91.68081494057725</v>
      </c>
      <c r="J18">
        <f t="shared" si="1"/>
        <v>1036.9100169779288</v>
      </c>
      <c r="L18">
        <f t="shared" si="2"/>
        <v>1036.9100169779288</v>
      </c>
      <c r="N18">
        <v>0</v>
      </c>
      <c r="O18">
        <v>516.12</v>
      </c>
      <c r="P18">
        <f t="shared" si="3"/>
        <v>54.328421052631576</v>
      </c>
      <c r="Q18">
        <f t="shared" si="4"/>
        <v>0</v>
      </c>
      <c r="S18">
        <f t="shared" si="5"/>
        <v>0</v>
      </c>
      <c r="U18" s="30">
        <v>45792</v>
      </c>
      <c r="V18" s="7">
        <f t="shared" si="6"/>
        <v>1036.9100169779288</v>
      </c>
      <c r="W18" s="12">
        <v>15938</v>
      </c>
    </row>
    <row r="19" spans="4:23" x14ac:dyDescent="0.25">
      <c r="D19" s="30">
        <v>45793</v>
      </c>
      <c r="G19">
        <v>9.3000000000000007</v>
      </c>
      <c r="H19">
        <v>870.9677419354839</v>
      </c>
      <c r="I19">
        <f t="shared" si="0"/>
        <v>91.68081494057725</v>
      </c>
      <c r="J19">
        <f t="shared" si="1"/>
        <v>852.63157894736844</v>
      </c>
      <c r="L19">
        <f t="shared" si="2"/>
        <v>852.63157894736844</v>
      </c>
      <c r="N19">
        <v>0</v>
      </c>
      <c r="O19">
        <v>516.12</v>
      </c>
      <c r="P19">
        <f t="shared" si="3"/>
        <v>54.328421052631576</v>
      </c>
      <c r="Q19">
        <f t="shared" si="4"/>
        <v>0</v>
      </c>
      <c r="S19">
        <f t="shared" si="5"/>
        <v>0</v>
      </c>
      <c r="U19" s="30">
        <v>45793</v>
      </c>
      <c r="V19" s="7">
        <f t="shared" si="6"/>
        <v>852.63157894736844</v>
      </c>
      <c r="W19" s="12">
        <v>12700</v>
      </c>
    </row>
    <row r="20" spans="4:23" x14ac:dyDescent="0.25">
      <c r="D20" s="30">
        <v>45794</v>
      </c>
      <c r="G20">
        <v>11.58</v>
      </c>
      <c r="H20">
        <v>870.9677419354839</v>
      </c>
      <c r="I20">
        <f t="shared" si="0"/>
        <v>91.68081494057725</v>
      </c>
      <c r="J20">
        <f t="shared" si="1"/>
        <v>1061.6638370118847</v>
      </c>
      <c r="L20">
        <f t="shared" si="2"/>
        <v>1061.6638370118847</v>
      </c>
      <c r="N20">
        <v>11.57</v>
      </c>
      <c r="O20">
        <v>516.12</v>
      </c>
      <c r="P20">
        <f t="shared" si="3"/>
        <v>54.328421052631576</v>
      </c>
      <c r="Q20">
        <f t="shared" si="4"/>
        <v>628.57983157894739</v>
      </c>
      <c r="S20">
        <f t="shared" si="5"/>
        <v>628.57983157894739</v>
      </c>
      <c r="U20" s="30">
        <v>45794</v>
      </c>
      <c r="V20" s="7">
        <f t="shared" si="6"/>
        <v>1690.2436685908319</v>
      </c>
      <c r="W20" s="12">
        <v>15607</v>
      </c>
    </row>
    <row r="21" spans="4:23" x14ac:dyDescent="0.25">
      <c r="D21" s="39">
        <v>45795</v>
      </c>
      <c r="G21">
        <v>9.24</v>
      </c>
      <c r="H21">
        <v>870.9677419354839</v>
      </c>
      <c r="I21">
        <f t="shared" si="0"/>
        <v>91.68081494057725</v>
      </c>
      <c r="J21">
        <f t="shared" si="1"/>
        <v>847.13073005093383</v>
      </c>
      <c r="K21">
        <v>870.9677419354839</v>
      </c>
      <c r="L21">
        <f t="shared" si="2"/>
        <v>1718.0984719864177</v>
      </c>
      <c r="N21">
        <v>9.25</v>
      </c>
      <c r="O21">
        <v>516.12</v>
      </c>
      <c r="P21">
        <f t="shared" si="3"/>
        <v>54.328421052631576</v>
      </c>
      <c r="Q21">
        <f t="shared" si="4"/>
        <v>502.53789473684208</v>
      </c>
      <c r="R21">
        <v>516.12903225806451</v>
      </c>
      <c r="S21">
        <f t="shared" si="5"/>
        <v>1018.6669269949066</v>
      </c>
      <c r="U21" s="39">
        <v>45795</v>
      </c>
      <c r="V21" s="7">
        <f t="shared" si="6"/>
        <v>2736.7653989813243</v>
      </c>
      <c r="W21" s="12">
        <v>13100</v>
      </c>
    </row>
    <row r="22" spans="4:23" x14ac:dyDescent="0.25">
      <c r="D22" s="30">
        <v>45796</v>
      </c>
      <c r="G22">
        <v>9.4499999999999993</v>
      </c>
      <c r="H22">
        <v>870.9677419354839</v>
      </c>
      <c r="I22">
        <f t="shared" si="0"/>
        <v>91.68081494057725</v>
      </c>
      <c r="J22">
        <f t="shared" si="1"/>
        <v>866.38370118845489</v>
      </c>
      <c r="L22">
        <f t="shared" si="2"/>
        <v>866.38370118845489</v>
      </c>
      <c r="N22">
        <v>9.4600000000000009</v>
      </c>
      <c r="O22">
        <v>516.12</v>
      </c>
      <c r="P22">
        <f t="shared" si="3"/>
        <v>54.328421052631576</v>
      </c>
      <c r="Q22">
        <f t="shared" si="4"/>
        <v>513.94686315789477</v>
      </c>
      <c r="S22">
        <f t="shared" si="5"/>
        <v>513.94686315789477</v>
      </c>
      <c r="U22" s="30">
        <v>45796</v>
      </c>
      <c r="V22" s="7">
        <f t="shared" si="6"/>
        <v>1380.3305643463495</v>
      </c>
      <c r="W22" s="12">
        <v>11775.125</v>
      </c>
    </row>
    <row r="23" spans="4:23" x14ac:dyDescent="0.25">
      <c r="D23" s="30">
        <v>45797</v>
      </c>
      <c r="G23">
        <v>9.56</v>
      </c>
      <c r="H23">
        <v>870.9677419354839</v>
      </c>
      <c r="I23">
        <f t="shared" si="0"/>
        <v>91.68081494057725</v>
      </c>
      <c r="J23">
        <f t="shared" si="1"/>
        <v>876.4685908319185</v>
      </c>
      <c r="L23">
        <f t="shared" si="2"/>
        <v>876.4685908319185</v>
      </c>
      <c r="N23">
        <v>9.5500000000000007</v>
      </c>
      <c r="O23">
        <v>516.12</v>
      </c>
      <c r="P23">
        <f t="shared" si="3"/>
        <v>54.328421052631576</v>
      </c>
      <c r="Q23">
        <f t="shared" si="4"/>
        <v>518.83642105263164</v>
      </c>
      <c r="S23">
        <f t="shared" si="5"/>
        <v>518.83642105263164</v>
      </c>
      <c r="U23" s="30">
        <v>45797</v>
      </c>
      <c r="V23" s="7">
        <f t="shared" si="6"/>
        <v>1395.3050118845501</v>
      </c>
      <c r="W23" s="12">
        <v>14170</v>
      </c>
    </row>
    <row r="24" spans="4:23" x14ac:dyDescent="0.25">
      <c r="D24" s="30">
        <v>45798</v>
      </c>
      <c r="G24">
        <v>10.02</v>
      </c>
      <c r="H24">
        <v>870.9677419354839</v>
      </c>
      <c r="I24">
        <f t="shared" si="0"/>
        <v>91.68081494057725</v>
      </c>
      <c r="J24">
        <f t="shared" si="1"/>
        <v>918.64176570458403</v>
      </c>
      <c r="L24">
        <f t="shared" si="2"/>
        <v>918.64176570458403</v>
      </c>
      <c r="N24">
        <v>10.02</v>
      </c>
      <c r="O24">
        <v>516.12</v>
      </c>
      <c r="P24">
        <f t="shared" si="3"/>
        <v>54.328421052631576</v>
      </c>
      <c r="Q24">
        <f t="shared" si="4"/>
        <v>544.37077894736842</v>
      </c>
      <c r="S24">
        <f t="shared" si="5"/>
        <v>544.37077894736842</v>
      </c>
      <c r="U24" s="30">
        <v>45798</v>
      </c>
      <c r="V24" s="7">
        <f t="shared" si="6"/>
        <v>1463.0125446519523</v>
      </c>
      <c r="W24" s="12">
        <v>17514</v>
      </c>
    </row>
    <row r="25" spans="4:23" x14ac:dyDescent="0.25">
      <c r="D25" s="30">
        <v>45799</v>
      </c>
      <c r="G25">
        <v>12.04</v>
      </c>
      <c r="H25">
        <v>870.9677419354839</v>
      </c>
      <c r="I25">
        <f t="shared" si="0"/>
        <v>91.68081494057725</v>
      </c>
      <c r="J25">
        <f t="shared" si="1"/>
        <v>1103.8370118845501</v>
      </c>
      <c r="L25">
        <f t="shared" si="2"/>
        <v>1103.8370118845501</v>
      </c>
      <c r="N25">
        <v>12</v>
      </c>
      <c r="O25">
        <v>516.12</v>
      </c>
      <c r="P25">
        <f t="shared" si="3"/>
        <v>54.328421052631576</v>
      </c>
      <c r="Q25">
        <f t="shared" si="4"/>
        <v>651.94105263157894</v>
      </c>
      <c r="S25">
        <f t="shared" si="5"/>
        <v>651.94105263157894</v>
      </c>
      <c r="U25" s="30">
        <v>45799</v>
      </c>
      <c r="V25" s="7">
        <f t="shared" si="6"/>
        <v>1755.778064516129</v>
      </c>
      <c r="W25" s="12">
        <v>15973</v>
      </c>
    </row>
    <row r="26" spans="4:23" x14ac:dyDescent="0.25">
      <c r="D26" s="30">
        <v>45800</v>
      </c>
      <c r="G26">
        <v>12.03</v>
      </c>
      <c r="H26">
        <v>870.9677419354839</v>
      </c>
      <c r="I26">
        <f t="shared" si="0"/>
        <v>91.68081494057725</v>
      </c>
      <c r="J26">
        <f t="shared" si="1"/>
        <v>1102.9202037351442</v>
      </c>
      <c r="L26">
        <f t="shared" si="2"/>
        <v>1102.9202037351442</v>
      </c>
      <c r="N26">
        <v>12.04</v>
      </c>
      <c r="O26">
        <v>516.12</v>
      </c>
      <c r="P26">
        <f t="shared" si="3"/>
        <v>54.328421052631576</v>
      </c>
      <c r="Q26">
        <f t="shared" si="4"/>
        <v>654.11418947368418</v>
      </c>
      <c r="S26">
        <f t="shared" si="5"/>
        <v>654.11418947368418</v>
      </c>
      <c r="U26" s="30">
        <v>45800</v>
      </c>
      <c r="V26" s="7">
        <f t="shared" si="6"/>
        <v>1757.0343932088285</v>
      </c>
      <c r="W26" s="12">
        <v>17404.5</v>
      </c>
    </row>
    <row r="27" spans="4:23" x14ac:dyDescent="0.25">
      <c r="D27" s="30">
        <v>45801</v>
      </c>
      <c r="G27">
        <v>9.3699999999999992</v>
      </c>
      <c r="H27">
        <v>870.9677419354839</v>
      </c>
      <c r="I27">
        <f t="shared" si="0"/>
        <v>91.68081494057725</v>
      </c>
      <c r="J27">
        <f t="shared" si="1"/>
        <v>859.04923599320875</v>
      </c>
      <c r="L27">
        <f t="shared" si="2"/>
        <v>859.04923599320875</v>
      </c>
      <c r="N27">
        <v>9.3800000000000008</v>
      </c>
      <c r="O27">
        <v>516.12</v>
      </c>
      <c r="P27">
        <f t="shared" si="3"/>
        <v>54.328421052631576</v>
      </c>
      <c r="Q27">
        <f t="shared" si="4"/>
        <v>509.60058947368424</v>
      </c>
      <c r="S27">
        <f t="shared" si="5"/>
        <v>509.60058947368424</v>
      </c>
      <c r="U27" s="30">
        <v>45801</v>
      </c>
      <c r="V27" s="7">
        <f t="shared" si="6"/>
        <v>1368.6498254668929</v>
      </c>
      <c r="W27" s="12">
        <v>13703.75</v>
      </c>
    </row>
    <row r="28" spans="4:23" x14ac:dyDescent="0.25">
      <c r="D28" s="39">
        <v>45802</v>
      </c>
      <c r="G28">
        <v>0</v>
      </c>
      <c r="H28">
        <v>870.9677419354839</v>
      </c>
      <c r="I28">
        <f t="shared" si="0"/>
        <v>91.68081494057725</v>
      </c>
      <c r="J28">
        <f t="shared" si="1"/>
        <v>0</v>
      </c>
      <c r="K28">
        <v>870.9677419354839</v>
      </c>
      <c r="L28">
        <f t="shared" si="2"/>
        <v>870.9677419354839</v>
      </c>
      <c r="N28">
        <v>0</v>
      </c>
      <c r="O28">
        <v>516.12</v>
      </c>
      <c r="P28">
        <f t="shared" si="3"/>
        <v>54.328421052631576</v>
      </c>
      <c r="Q28">
        <f t="shared" si="4"/>
        <v>0</v>
      </c>
      <c r="R28">
        <v>516.12903225806451</v>
      </c>
      <c r="S28">
        <f t="shared" si="5"/>
        <v>516.12903225806451</v>
      </c>
      <c r="U28" s="39">
        <v>45802</v>
      </c>
      <c r="V28" s="7">
        <f t="shared" si="6"/>
        <v>1387.0967741935483</v>
      </c>
      <c r="W28" s="12">
        <v>500</v>
      </c>
    </row>
    <row r="29" spans="4:23" x14ac:dyDescent="0.25">
      <c r="D29" s="30">
        <v>45803</v>
      </c>
      <c r="G29">
        <v>11.58</v>
      </c>
      <c r="H29">
        <v>870.9677419354839</v>
      </c>
      <c r="I29">
        <f t="shared" si="0"/>
        <v>91.68081494057725</v>
      </c>
      <c r="J29">
        <f t="shared" si="1"/>
        <v>1061.6638370118847</v>
      </c>
      <c r="L29">
        <f t="shared" si="2"/>
        <v>1061.6638370118847</v>
      </c>
      <c r="N29">
        <v>9.24</v>
      </c>
      <c r="O29">
        <v>516.12</v>
      </c>
      <c r="P29">
        <f t="shared" si="3"/>
        <v>54.328421052631576</v>
      </c>
      <c r="Q29">
        <f t="shared" si="4"/>
        <v>501.9946105263158</v>
      </c>
      <c r="S29">
        <f t="shared" si="5"/>
        <v>501.9946105263158</v>
      </c>
      <c r="U29" s="30">
        <v>45803</v>
      </c>
      <c r="V29" s="7">
        <f t="shared" si="6"/>
        <v>1563.6584475382006</v>
      </c>
      <c r="W29" s="12">
        <v>10873</v>
      </c>
    </row>
    <row r="30" spans="4:23" x14ac:dyDescent="0.25">
      <c r="D30" s="30">
        <v>45804</v>
      </c>
      <c r="G30">
        <v>9.35</v>
      </c>
      <c r="H30">
        <v>870.9677419354839</v>
      </c>
      <c r="I30">
        <f t="shared" si="0"/>
        <v>91.68081494057725</v>
      </c>
      <c r="J30">
        <f t="shared" si="1"/>
        <v>857.21561969439722</v>
      </c>
      <c r="L30">
        <f t="shared" si="2"/>
        <v>857.21561969439722</v>
      </c>
      <c r="N30">
        <v>9.3699999999999992</v>
      </c>
      <c r="O30">
        <v>516.12</v>
      </c>
      <c r="P30">
        <f t="shared" si="3"/>
        <v>54.328421052631576</v>
      </c>
      <c r="Q30">
        <f t="shared" si="4"/>
        <v>509.05730526315784</v>
      </c>
      <c r="S30">
        <f t="shared" si="5"/>
        <v>509.05730526315784</v>
      </c>
      <c r="U30" s="30">
        <v>45804</v>
      </c>
      <c r="V30" s="7">
        <f t="shared" si="6"/>
        <v>1366.272924957555</v>
      </c>
      <c r="W30" s="12">
        <v>9041.875</v>
      </c>
    </row>
    <row r="31" spans="4:23" x14ac:dyDescent="0.25">
      <c r="D31" s="30">
        <v>45805</v>
      </c>
      <c r="G31">
        <v>12.05</v>
      </c>
      <c r="H31">
        <v>870.9677419354839</v>
      </c>
      <c r="I31">
        <f t="shared" si="0"/>
        <v>91.68081494057725</v>
      </c>
      <c r="J31">
        <f t="shared" si="1"/>
        <v>1104.7538200339559</v>
      </c>
      <c r="L31">
        <f t="shared" si="2"/>
        <v>1104.7538200339559</v>
      </c>
      <c r="N31">
        <v>12.04</v>
      </c>
      <c r="O31">
        <v>516.12</v>
      </c>
      <c r="P31">
        <f t="shared" si="3"/>
        <v>54.328421052631576</v>
      </c>
      <c r="Q31">
        <f t="shared" si="4"/>
        <v>654.11418947368418</v>
      </c>
      <c r="S31">
        <f t="shared" si="5"/>
        <v>654.11418947368418</v>
      </c>
      <c r="U31" s="30">
        <v>45805</v>
      </c>
      <c r="V31" s="7">
        <f t="shared" si="6"/>
        <v>1758.8680095076402</v>
      </c>
      <c r="W31" s="12">
        <v>14867.75</v>
      </c>
    </row>
    <row r="32" spans="4:23" x14ac:dyDescent="0.25">
      <c r="D32" s="30">
        <v>45806</v>
      </c>
      <c r="G32">
        <v>12.03</v>
      </c>
      <c r="H32">
        <v>870.9677419354839</v>
      </c>
      <c r="I32">
        <f t="shared" si="0"/>
        <v>91.68081494057725</v>
      </c>
      <c r="J32">
        <f t="shared" si="1"/>
        <v>1102.9202037351442</v>
      </c>
      <c r="L32">
        <f t="shared" si="2"/>
        <v>1102.9202037351442</v>
      </c>
      <c r="N32">
        <v>9.42</v>
      </c>
      <c r="O32">
        <v>516.12</v>
      </c>
      <c r="P32">
        <f t="shared" si="3"/>
        <v>54.328421052631576</v>
      </c>
      <c r="Q32">
        <f t="shared" si="4"/>
        <v>511.77372631578942</v>
      </c>
      <c r="S32">
        <f t="shared" si="5"/>
        <v>511.77372631578942</v>
      </c>
      <c r="U32" s="30">
        <v>45806</v>
      </c>
      <c r="V32" s="7">
        <f t="shared" si="6"/>
        <v>1614.6939300509337</v>
      </c>
      <c r="W32" s="12">
        <v>16135</v>
      </c>
    </row>
    <row r="33" spans="4:25" x14ac:dyDescent="0.25">
      <c r="D33" s="30">
        <v>45807</v>
      </c>
      <c r="G33">
        <v>12.09</v>
      </c>
      <c r="H33">
        <v>870.9677419354839</v>
      </c>
      <c r="I33">
        <f t="shared" si="0"/>
        <v>91.68081494057725</v>
      </c>
      <c r="J33">
        <f t="shared" si="1"/>
        <v>1108.421052631579</v>
      </c>
      <c r="L33">
        <f t="shared" si="2"/>
        <v>1108.421052631579</v>
      </c>
      <c r="N33">
        <v>12.09</v>
      </c>
      <c r="O33">
        <v>516.12</v>
      </c>
      <c r="P33">
        <f t="shared" si="3"/>
        <v>54.328421052631576</v>
      </c>
      <c r="Q33">
        <f t="shared" si="4"/>
        <v>656.8306105263157</v>
      </c>
      <c r="S33">
        <f t="shared" si="5"/>
        <v>656.8306105263157</v>
      </c>
      <c r="U33" s="30">
        <v>45807</v>
      </c>
      <c r="V33" s="7">
        <f t="shared" si="6"/>
        <v>1765.2516631578947</v>
      </c>
      <c r="W33" s="12">
        <v>16196</v>
      </c>
    </row>
    <row r="34" spans="4:25" x14ac:dyDescent="0.25">
      <c r="D34" s="30">
        <v>45808</v>
      </c>
      <c r="G34">
        <v>12.1</v>
      </c>
      <c r="H34">
        <v>870.9677419354839</v>
      </c>
      <c r="I34">
        <f t="shared" si="0"/>
        <v>91.68081494057725</v>
      </c>
      <c r="J34">
        <f t="shared" si="1"/>
        <v>1109.3378607809848</v>
      </c>
      <c r="L34">
        <f t="shared" si="2"/>
        <v>1109.3378607809848</v>
      </c>
      <c r="N34">
        <v>12.1</v>
      </c>
      <c r="O34">
        <v>516.12</v>
      </c>
      <c r="P34">
        <f t="shared" si="3"/>
        <v>54.328421052631576</v>
      </c>
      <c r="Q34">
        <f t="shared" si="4"/>
        <v>657.37389473684209</v>
      </c>
      <c r="S34">
        <f t="shared" si="5"/>
        <v>657.37389473684209</v>
      </c>
      <c r="U34" s="30">
        <v>45808</v>
      </c>
      <c r="V34" s="7">
        <f t="shared" si="6"/>
        <v>1766.711755517827</v>
      </c>
      <c r="W34" s="12">
        <v>15996</v>
      </c>
    </row>
    <row r="35" spans="4:25" x14ac:dyDescent="0.25">
      <c r="D35" s="30"/>
      <c r="G35" t="s">
        <v>5</v>
      </c>
      <c r="H35" t="s">
        <v>5</v>
      </c>
      <c r="U35" s="30"/>
      <c r="V35" s="12">
        <f>SUM(V4:V34)</f>
        <v>48332.457150424452</v>
      </c>
      <c r="W35" s="12">
        <f>SUM(W4:W34)</f>
        <v>417039.39285714284</v>
      </c>
      <c r="Y35" s="11">
        <f>+V35/W35*100</f>
        <v>11.589422481003076</v>
      </c>
    </row>
    <row r="36" spans="4:25" x14ac:dyDescent="0.25">
      <c r="D36" s="38" t="s">
        <v>119</v>
      </c>
      <c r="G36">
        <v>27000</v>
      </c>
      <c r="H36">
        <f>+G36/30</f>
        <v>900</v>
      </c>
      <c r="O36">
        <v>16000</v>
      </c>
      <c r="P36">
        <f>+O36/30</f>
        <v>533.33333333333337</v>
      </c>
      <c r="U36" s="38" t="s">
        <v>119</v>
      </c>
    </row>
    <row r="37" spans="4:25" x14ac:dyDescent="0.25">
      <c r="D37" s="48">
        <v>45809</v>
      </c>
      <c r="G37">
        <v>7.06</v>
      </c>
      <c r="H37">
        <v>900</v>
      </c>
      <c r="I37">
        <f>+H37/100*9.5</f>
        <v>85.5</v>
      </c>
      <c r="J37">
        <f t="shared" ref="J37:J66" si="7">+I37*G37</f>
        <v>603.63</v>
      </c>
      <c r="K37">
        <v>900</v>
      </c>
      <c r="L37">
        <f>+J37+K37</f>
        <v>1503.63</v>
      </c>
      <c r="N37">
        <v>7.07</v>
      </c>
      <c r="O37">
        <v>533.33333333333337</v>
      </c>
      <c r="P37">
        <f t="shared" ref="P37:P66" si="8">+O37/9.5</f>
        <v>56.140350877192986</v>
      </c>
      <c r="Q37">
        <f t="shared" ref="Q37:Q66" si="9">+P37*N37</f>
        <v>396.91228070175441</v>
      </c>
      <c r="R37">
        <v>533.33333333333337</v>
      </c>
      <c r="S37">
        <f t="shared" ref="S37:S66" si="10">+Q37+R37</f>
        <v>930.24561403508778</v>
      </c>
      <c r="U37" s="48">
        <v>45809</v>
      </c>
      <c r="V37" s="7">
        <f>+S37+L37</f>
        <v>2433.8756140350879</v>
      </c>
      <c r="W37" s="12">
        <v>11500</v>
      </c>
    </row>
    <row r="38" spans="4:25" x14ac:dyDescent="0.25">
      <c r="D38" s="30">
        <v>45810</v>
      </c>
      <c r="G38">
        <v>12.03</v>
      </c>
      <c r="H38">
        <v>900</v>
      </c>
      <c r="I38">
        <f t="shared" ref="I38:I66" si="11">+H38/100*9.5</f>
        <v>85.5</v>
      </c>
      <c r="J38">
        <f t="shared" si="7"/>
        <v>1028.5650000000001</v>
      </c>
      <c r="L38">
        <f t="shared" ref="L38:L66" si="12">+J38+K38</f>
        <v>1028.5650000000001</v>
      </c>
      <c r="N38">
        <v>9.4499999999999993</v>
      </c>
      <c r="O38">
        <v>533.33333333333337</v>
      </c>
      <c r="P38">
        <f t="shared" si="8"/>
        <v>56.140350877192986</v>
      </c>
      <c r="Q38">
        <f t="shared" si="9"/>
        <v>530.52631578947364</v>
      </c>
      <c r="S38">
        <f t="shared" si="10"/>
        <v>530.52631578947364</v>
      </c>
      <c r="U38" s="30">
        <v>45810</v>
      </c>
      <c r="V38" s="7">
        <f t="shared" ref="V38:V66" si="13">+S38+L38</f>
        <v>1559.0913157894738</v>
      </c>
      <c r="W38" s="12">
        <v>15005</v>
      </c>
    </row>
    <row r="39" spans="4:25" x14ac:dyDescent="0.25">
      <c r="D39" s="30">
        <v>45811</v>
      </c>
      <c r="G39">
        <v>12.05</v>
      </c>
      <c r="H39">
        <v>900</v>
      </c>
      <c r="I39">
        <f t="shared" si="11"/>
        <v>85.5</v>
      </c>
      <c r="J39">
        <f t="shared" si="7"/>
        <v>1030.2750000000001</v>
      </c>
      <c r="L39">
        <f t="shared" si="12"/>
        <v>1030.2750000000001</v>
      </c>
      <c r="N39">
        <v>12.05</v>
      </c>
      <c r="O39">
        <v>533.33333333333337</v>
      </c>
      <c r="P39">
        <f t="shared" si="8"/>
        <v>56.140350877192986</v>
      </c>
      <c r="Q39">
        <f t="shared" si="9"/>
        <v>676.49122807017557</v>
      </c>
      <c r="S39">
        <f t="shared" si="10"/>
        <v>676.49122807017557</v>
      </c>
      <c r="U39" s="30">
        <v>45811</v>
      </c>
      <c r="V39" s="7">
        <f t="shared" si="13"/>
        <v>1706.7662280701757</v>
      </c>
      <c r="W39" s="12">
        <v>14801</v>
      </c>
    </row>
    <row r="40" spans="4:25" x14ac:dyDescent="0.25">
      <c r="D40" s="30">
        <v>45812</v>
      </c>
      <c r="G40">
        <v>12.04</v>
      </c>
      <c r="H40">
        <v>900</v>
      </c>
      <c r="I40">
        <f t="shared" si="11"/>
        <v>85.5</v>
      </c>
      <c r="J40">
        <f t="shared" si="7"/>
        <v>1029.4199999999998</v>
      </c>
      <c r="L40">
        <f t="shared" si="12"/>
        <v>1029.4199999999998</v>
      </c>
      <c r="N40">
        <v>12.05</v>
      </c>
      <c r="O40">
        <v>533.33333333333337</v>
      </c>
      <c r="P40">
        <f t="shared" si="8"/>
        <v>56.140350877192986</v>
      </c>
      <c r="Q40">
        <f t="shared" si="9"/>
        <v>676.49122807017557</v>
      </c>
      <c r="S40">
        <f t="shared" si="10"/>
        <v>676.49122807017557</v>
      </c>
      <c r="U40" s="30">
        <v>45812</v>
      </c>
      <c r="V40" s="7">
        <f t="shared" si="13"/>
        <v>1705.9112280701754</v>
      </c>
      <c r="W40" s="12">
        <v>14754.875</v>
      </c>
    </row>
    <row r="41" spans="4:25" x14ac:dyDescent="0.25">
      <c r="D41" s="30">
        <v>45813</v>
      </c>
      <c r="G41">
        <v>12.17</v>
      </c>
      <c r="H41">
        <v>900</v>
      </c>
      <c r="I41">
        <f t="shared" si="11"/>
        <v>85.5</v>
      </c>
      <c r="J41">
        <f t="shared" si="7"/>
        <v>1040.5350000000001</v>
      </c>
      <c r="L41">
        <f t="shared" si="12"/>
        <v>1040.5350000000001</v>
      </c>
      <c r="N41">
        <v>12.19</v>
      </c>
      <c r="O41">
        <v>533.33333333333337</v>
      </c>
      <c r="P41">
        <f t="shared" si="8"/>
        <v>56.140350877192986</v>
      </c>
      <c r="Q41">
        <f t="shared" si="9"/>
        <v>684.35087719298247</v>
      </c>
      <c r="S41">
        <f t="shared" si="10"/>
        <v>684.35087719298247</v>
      </c>
      <c r="U41" s="30">
        <v>45813</v>
      </c>
      <c r="V41" s="7">
        <f t="shared" si="13"/>
        <v>1724.8858771929827</v>
      </c>
      <c r="W41" s="12">
        <v>13796</v>
      </c>
    </row>
    <row r="42" spans="4:25" x14ac:dyDescent="0.25">
      <c r="D42" s="30">
        <v>45814</v>
      </c>
      <c r="G42">
        <v>12.08</v>
      </c>
      <c r="H42">
        <v>900</v>
      </c>
      <c r="I42">
        <f t="shared" si="11"/>
        <v>85.5</v>
      </c>
      <c r="J42">
        <f t="shared" si="7"/>
        <v>1032.8399999999999</v>
      </c>
      <c r="L42">
        <f t="shared" si="12"/>
        <v>1032.8399999999999</v>
      </c>
      <c r="N42">
        <v>9.58</v>
      </c>
      <c r="O42">
        <v>533.33333333333337</v>
      </c>
      <c r="P42">
        <f t="shared" si="8"/>
        <v>56.140350877192986</v>
      </c>
      <c r="Q42">
        <f t="shared" si="9"/>
        <v>537.82456140350882</v>
      </c>
      <c r="S42">
        <f t="shared" si="10"/>
        <v>537.82456140350882</v>
      </c>
      <c r="U42" s="30">
        <v>45814</v>
      </c>
      <c r="V42" s="7">
        <f t="shared" si="13"/>
        <v>1570.6645614035087</v>
      </c>
      <c r="W42" s="12">
        <v>14275</v>
      </c>
    </row>
    <row r="43" spans="4:25" x14ac:dyDescent="0.25">
      <c r="D43" s="30">
        <v>45815</v>
      </c>
      <c r="G43">
        <v>9.14</v>
      </c>
      <c r="H43">
        <v>900</v>
      </c>
      <c r="I43">
        <f t="shared" si="11"/>
        <v>85.5</v>
      </c>
      <c r="J43">
        <f t="shared" si="7"/>
        <v>781.47</v>
      </c>
      <c r="L43">
        <f t="shared" si="12"/>
        <v>781.47</v>
      </c>
      <c r="N43">
        <v>9.15</v>
      </c>
      <c r="O43">
        <v>533.33333333333337</v>
      </c>
      <c r="P43">
        <f t="shared" si="8"/>
        <v>56.140350877192986</v>
      </c>
      <c r="Q43">
        <f t="shared" si="9"/>
        <v>513.68421052631584</v>
      </c>
      <c r="S43">
        <f t="shared" si="10"/>
        <v>513.68421052631584</v>
      </c>
      <c r="U43" s="30">
        <v>45815</v>
      </c>
      <c r="V43" s="7">
        <f t="shared" si="13"/>
        <v>1295.1542105263159</v>
      </c>
      <c r="W43" s="12">
        <v>8940</v>
      </c>
    </row>
    <row r="44" spans="4:25" x14ac:dyDescent="0.25">
      <c r="D44" s="48">
        <v>45816</v>
      </c>
      <c r="G44">
        <v>0</v>
      </c>
      <c r="H44">
        <v>900</v>
      </c>
      <c r="I44">
        <f t="shared" si="11"/>
        <v>85.5</v>
      </c>
      <c r="J44">
        <f t="shared" si="7"/>
        <v>0</v>
      </c>
      <c r="K44">
        <v>900</v>
      </c>
      <c r="L44">
        <f t="shared" si="12"/>
        <v>900</v>
      </c>
      <c r="N44">
        <v>0</v>
      </c>
      <c r="O44">
        <v>533.33333333333337</v>
      </c>
      <c r="P44">
        <f t="shared" si="8"/>
        <v>56.140350877192986</v>
      </c>
      <c r="Q44">
        <f t="shared" si="9"/>
        <v>0</v>
      </c>
      <c r="R44">
        <v>533.33333333333337</v>
      </c>
      <c r="S44">
        <f t="shared" si="10"/>
        <v>533.33333333333337</v>
      </c>
      <c r="U44" s="48">
        <v>45816</v>
      </c>
      <c r="V44" s="7">
        <f t="shared" si="13"/>
        <v>1433.3333333333335</v>
      </c>
      <c r="W44" s="12">
        <v>0</v>
      </c>
    </row>
    <row r="45" spans="4:25" x14ac:dyDescent="0.25">
      <c r="D45" s="30">
        <v>45817</v>
      </c>
      <c r="G45">
        <v>0</v>
      </c>
      <c r="H45">
        <v>900</v>
      </c>
      <c r="I45">
        <f t="shared" si="11"/>
        <v>85.5</v>
      </c>
      <c r="J45">
        <f t="shared" si="7"/>
        <v>0</v>
      </c>
      <c r="L45">
        <f t="shared" si="12"/>
        <v>0</v>
      </c>
      <c r="N45">
        <v>10.06</v>
      </c>
      <c r="O45">
        <v>533.33333333333337</v>
      </c>
      <c r="P45">
        <f t="shared" si="8"/>
        <v>56.140350877192986</v>
      </c>
      <c r="Q45">
        <f t="shared" si="9"/>
        <v>564.77192982456143</v>
      </c>
      <c r="S45">
        <f t="shared" si="10"/>
        <v>564.77192982456143</v>
      </c>
      <c r="U45" s="30">
        <v>45817</v>
      </c>
      <c r="V45" s="7">
        <f t="shared" si="13"/>
        <v>564.77192982456143</v>
      </c>
      <c r="W45" s="12">
        <v>10164.625</v>
      </c>
    </row>
    <row r="46" spans="4:25" x14ac:dyDescent="0.25">
      <c r="D46" s="30">
        <v>45818</v>
      </c>
      <c r="G46">
        <v>10.029999999999999</v>
      </c>
      <c r="H46">
        <v>900</v>
      </c>
      <c r="I46">
        <f t="shared" si="11"/>
        <v>85.5</v>
      </c>
      <c r="J46">
        <f t="shared" si="7"/>
        <v>857.56499999999994</v>
      </c>
      <c r="L46">
        <f t="shared" si="12"/>
        <v>857.56499999999994</v>
      </c>
      <c r="N46">
        <v>10.08</v>
      </c>
      <c r="O46">
        <v>533.33333333333337</v>
      </c>
      <c r="P46">
        <f t="shared" si="8"/>
        <v>56.140350877192986</v>
      </c>
      <c r="Q46">
        <f t="shared" si="9"/>
        <v>565.89473684210532</v>
      </c>
      <c r="S46">
        <f t="shared" si="10"/>
        <v>565.89473684210532</v>
      </c>
      <c r="U46" s="30">
        <v>45818</v>
      </c>
      <c r="V46" s="7">
        <f t="shared" si="13"/>
        <v>1423.4597368421053</v>
      </c>
      <c r="W46" s="12">
        <v>15683</v>
      </c>
    </row>
    <row r="47" spans="4:25" x14ac:dyDescent="0.25">
      <c r="D47" s="30">
        <v>45819</v>
      </c>
      <c r="G47">
        <v>12.1</v>
      </c>
      <c r="H47">
        <v>900</v>
      </c>
      <c r="I47">
        <f t="shared" si="11"/>
        <v>85.5</v>
      </c>
      <c r="J47">
        <f t="shared" si="7"/>
        <v>1034.55</v>
      </c>
      <c r="L47">
        <f t="shared" si="12"/>
        <v>1034.55</v>
      </c>
      <c r="N47">
        <v>12.1</v>
      </c>
      <c r="O47">
        <v>533.33333333333337</v>
      </c>
      <c r="P47">
        <f t="shared" si="8"/>
        <v>56.140350877192986</v>
      </c>
      <c r="Q47">
        <f t="shared" si="9"/>
        <v>679.29824561403507</v>
      </c>
      <c r="S47">
        <f t="shared" si="10"/>
        <v>679.29824561403507</v>
      </c>
      <c r="U47" s="30">
        <v>45819</v>
      </c>
      <c r="V47" s="7">
        <f t="shared" si="13"/>
        <v>1713.848245614035</v>
      </c>
      <c r="W47" s="12">
        <v>15689</v>
      </c>
    </row>
    <row r="48" spans="4:25" x14ac:dyDescent="0.25">
      <c r="D48" s="30">
        <v>45820</v>
      </c>
      <c r="G48">
        <v>12.01</v>
      </c>
      <c r="H48">
        <v>900</v>
      </c>
      <c r="I48">
        <f t="shared" si="11"/>
        <v>85.5</v>
      </c>
      <c r="J48">
        <f t="shared" si="7"/>
        <v>1026.855</v>
      </c>
      <c r="L48">
        <f t="shared" si="12"/>
        <v>1026.855</v>
      </c>
      <c r="N48">
        <v>12.02</v>
      </c>
      <c r="O48">
        <v>533.33333333333337</v>
      </c>
      <c r="P48">
        <f t="shared" si="8"/>
        <v>56.140350877192986</v>
      </c>
      <c r="Q48">
        <f t="shared" si="9"/>
        <v>674.80701754385973</v>
      </c>
      <c r="S48">
        <f t="shared" si="10"/>
        <v>674.80701754385973</v>
      </c>
      <c r="U48" s="30">
        <v>45820</v>
      </c>
      <c r="V48" s="7">
        <f t="shared" si="13"/>
        <v>1701.6620175438597</v>
      </c>
      <c r="W48" s="12">
        <v>16051</v>
      </c>
    </row>
    <row r="49" spans="4:23" x14ac:dyDescent="0.25">
      <c r="D49" s="30">
        <v>45821</v>
      </c>
      <c r="G49">
        <v>12.07</v>
      </c>
      <c r="H49">
        <v>900</v>
      </c>
      <c r="I49">
        <f t="shared" si="11"/>
        <v>85.5</v>
      </c>
      <c r="J49">
        <f t="shared" si="7"/>
        <v>1031.9850000000001</v>
      </c>
      <c r="L49">
        <f t="shared" si="12"/>
        <v>1031.9850000000001</v>
      </c>
      <c r="N49">
        <v>12.07</v>
      </c>
      <c r="O49">
        <v>533.33333333333337</v>
      </c>
      <c r="P49">
        <f t="shared" si="8"/>
        <v>56.140350877192986</v>
      </c>
      <c r="Q49">
        <f t="shared" si="9"/>
        <v>677.61403508771934</v>
      </c>
      <c r="S49">
        <f t="shared" si="10"/>
        <v>677.61403508771934</v>
      </c>
      <c r="U49" s="30">
        <v>45821</v>
      </c>
      <c r="V49" s="7">
        <f t="shared" si="13"/>
        <v>1709.5990350877196</v>
      </c>
      <c r="W49" s="12">
        <v>15404</v>
      </c>
    </row>
    <row r="50" spans="4:23" x14ac:dyDescent="0.25">
      <c r="D50" s="30">
        <v>45822</v>
      </c>
      <c r="G50">
        <v>12.06</v>
      </c>
      <c r="H50">
        <v>900</v>
      </c>
      <c r="I50">
        <f t="shared" si="11"/>
        <v>85.5</v>
      </c>
      <c r="J50">
        <f t="shared" si="7"/>
        <v>1031.1300000000001</v>
      </c>
      <c r="L50">
        <f t="shared" si="12"/>
        <v>1031.1300000000001</v>
      </c>
      <c r="N50">
        <v>12.06</v>
      </c>
      <c r="O50">
        <v>533.33333333333337</v>
      </c>
      <c r="P50">
        <f t="shared" si="8"/>
        <v>56.140350877192986</v>
      </c>
      <c r="Q50">
        <f t="shared" si="9"/>
        <v>677.0526315789474</v>
      </c>
      <c r="S50">
        <f t="shared" si="10"/>
        <v>677.0526315789474</v>
      </c>
      <c r="U50" s="30">
        <v>45822</v>
      </c>
      <c r="V50" s="7">
        <f t="shared" si="13"/>
        <v>1708.1826315789476</v>
      </c>
      <c r="W50" s="12">
        <v>15220.125</v>
      </c>
    </row>
    <row r="51" spans="4:23" x14ac:dyDescent="0.25">
      <c r="D51" s="48">
        <v>45823</v>
      </c>
      <c r="G51">
        <v>9.3699999999999992</v>
      </c>
      <c r="H51">
        <v>900</v>
      </c>
      <c r="I51">
        <f t="shared" si="11"/>
        <v>85.5</v>
      </c>
      <c r="J51">
        <f t="shared" si="7"/>
        <v>801.13499999999988</v>
      </c>
      <c r="K51">
        <v>900</v>
      </c>
      <c r="L51">
        <f t="shared" si="12"/>
        <v>1701.1349999999998</v>
      </c>
      <c r="N51">
        <v>9.3699999999999992</v>
      </c>
      <c r="O51">
        <v>533.33333333333337</v>
      </c>
      <c r="P51">
        <f t="shared" si="8"/>
        <v>56.140350877192986</v>
      </c>
      <c r="Q51">
        <f t="shared" si="9"/>
        <v>526.03508771929819</v>
      </c>
      <c r="R51">
        <v>533.33333333333337</v>
      </c>
      <c r="S51">
        <f t="shared" si="10"/>
        <v>1059.3684210526317</v>
      </c>
      <c r="U51" s="48">
        <v>45823</v>
      </c>
      <c r="V51" s="7">
        <f t="shared" si="13"/>
        <v>2760.5034210526314</v>
      </c>
      <c r="W51" s="12">
        <v>12830</v>
      </c>
    </row>
    <row r="52" spans="4:23" x14ac:dyDescent="0.25">
      <c r="D52" s="30">
        <v>45824</v>
      </c>
      <c r="G52">
        <v>11.58</v>
      </c>
      <c r="H52">
        <v>900</v>
      </c>
      <c r="I52">
        <f t="shared" si="11"/>
        <v>85.5</v>
      </c>
      <c r="J52">
        <f t="shared" si="7"/>
        <v>990.09</v>
      </c>
      <c r="L52">
        <f t="shared" si="12"/>
        <v>990.09</v>
      </c>
      <c r="N52">
        <v>11.58</v>
      </c>
      <c r="O52">
        <v>533.33333333333337</v>
      </c>
      <c r="P52">
        <f t="shared" si="8"/>
        <v>56.140350877192986</v>
      </c>
      <c r="Q52">
        <f t="shared" si="9"/>
        <v>650.1052631578948</v>
      </c>
      <c r="S52">
        <f t="shared" si="10"/>
        <v>650.1052631578948</v>
      </c>
      <c r="U52" s="30">
        <v>45824</v>
      </c>
      <c r="V52" s="7">
        <f t="shared" si="13"/>
        <v>1640.1952631578947</v>
      </c>
      <c r="W52" s="12">
        <v>14681</v>
      </c>
    </row>
    <row r="53" spans="4:23" x14ac:dyDescent="0.25">
      <c r="D53" s="30">
        <v>45825</v>
      </c>
      <c r="G53">
        <v>12.02</v>
      </c>
      <c r="H53">
        <v>900</v>
      </c>
      <c r="I53">
        <f t="shared" si="11"/>
        <v>85.5</v>
      </c>
      <c r="J53">
        <f t="shared" si="7"/>
        <v>1027.71</v>
      </c>
      <c r="L53">
        <f t="shared" si="12"/>
        <v>1027.71</v>
      </c>
      <c r="N53">
        <v>12.05</v>
      </c>
      <c r="O53">
        <v>533.33333333333337</v>
      </c>
      <c r="P53">
        <f t="shared" si="8"/>
        <v>56.140350877192986</v>
      </c>
      <c r="Q53">
        <f t="shared" si="9"/>
        <v>676.49122807017557</v>
      </c>
      <c r="S53">
        <f t="shared" si="10"/>
        <v>676.49122807017557</v>
      </c>
      <c r="U53" s="30">
        <v>45825</v>
      </c>
      <c r="V53" s="7">
        <f t="shared" si="13"/>
        <v>1704.2012280701756</v>
      </c>
      <c r="W53" s="12">
        <v>17215</v>
      </c>
    </row>
    <row r="54" spans="4:23" x14ac:dyDescent="0.25">
      <c r="D54" s="30">
        <v>45826</v>
      </c>
      <c r="G54">
        <v>11.58</v>
      </c>
      <c r="H54">
        <v>900</v>
      </c>
      <c r="I54">
        <f t="shared" si="11"/>
        <v>85.5</v>
      </c>
      <c r="J54">
        <f t="shared" si="7"/>
        <v>990.09</v>
      </c>
      <c r="L54">
        <f t="shared" si="12"/>
        <v>990.09</v>
      </c>
      <c r="N54">
        <v>11.58</v>
      </c>
      <c r="O54">
        <v>533.33333333333337</v>
      </c>
      <c r="P54">
        <f t="shared" si="8"/>
        <v>56.140350877192986</v>
      </c>
      <c r="Q54">
        <f t="shared" si="9"/>
        <v>650.1052631578948</v>
      </c>
      <c r="S54">
        <f t="shared" si="10"/>
        <v>650.1052631578948</v>
      </c>
      <c r="U54" s="30">
        <v>45826</v>
      </c>
      <c r="V54" s="7">
        <f t="shared" si="13"/>
        <v>1640.1952631578947</v>
      </c>
      <c r="W54" s="12">
        <v>17368</v>
      </c>
    </row>
    <row r="55" spans="4:23" x14ac:dyDescent="0.25">
      <c r="D55" s="30">
        <v>45827</v>
      </c>
      <c r="G55">
        <v>12</v>
      </c>
      <c r="H55">
        <v>900</v>
      </c>
      <c r="I55">
        <f t="shared" si="11"/>
        <v>85.5</v>
      </c>
      <c r="J55">
        <f t="shared" si="7"/>
        <v>1026</v>
      </c>
      <c r="L55">
        <f t="shared" si="12"/>
        <v>1026</v>
      </c>
      <c r="N55">
        <v>12</v>
      </c>
      <c r="O55">
        <v>533.33333333333337</v>
      </c>
      <c r="P55">
        <f t="shared" si="8"/>
        <v>56.140350877192986</v>
      </c>
      <c r="Q55">
        <f t="shared" si="9"/>
        <v>673.68421052631584</v>
      </c>
      <c r="S55">
        <f t="shared" si="10"/>
        <v>673.68421052631584</v>
      </c>
      <c r="U55" s="30">
        <v>45827</v>
      </c>
      <c r="V55" s="7">
        <f t="shared" si="13"/>
        <v>1699.6842105263158</v>
      </c>
      <c r="W55" s="12">
        <v>17939.75</v>
      </c>
    </row>
    <row r="56" spans="4:23" x14ac:dyDescent="0.25">
      <c r="D56" s="30">
        <v>45828</v>
      </c>
      <c r="G56">
        <v>12.03</v>
      </c>
      <c r="H56">
        <v>900</v>
      </c>
      <c r="I56">
        <f t="shared" si="11"/>
        <v>85.5</v>
      </c>
      <c r="J56">
        <f t="shared" si="7"/>
        <v>1028.5650000000001</v>
      </c>
      <c r="L56">
        <f t="shared" si="12"/>
        <v>1028.5650000000001</v>
      </c>
      <c r="N56">
        <v>12.03</v>
      </c>
      <c r="O56">
        <v>533.33333333333337</v>
      </c>
      <c r="P56">
        <f t="shared" si="8"/>
        <v>56.140350877192986</v>
      </c>
      <c r="Q56">
        <f t="shared" si="9"/>
        <v>675.36842105263156</v>
      </c>
      <c r="S56">
        <f t="shared" si="10"/>
        <v>675.36842105263156</v>
      </c>
      <c r="U56" s="30">
        <v>45828</v>
      </c>
      <c r="V56" s="7">
        <f t="shared" si="13"/>
        <v>1703.9334210526317</v>
      </c>
      <c r="W56" s="12">
        <v>18628</v>
      </c>
    </row>
    <row r="57" spans="4:23" x14ac:dyDescent="0.25">
      <c r="D57" s="30">
        <v>45829</v>
      </c>
      <c r="G57">
        <v>9.39</v>
      </c>
      <c r="H57">
        <v>900</v>
      </c>
      <c r="I57">
        <f t="shared" si="11"/>
        <v>85.5</v>
      </c>
      <c r="J57">
        <f t="shared" si="7"/>
        <v>802.84500000000003</v>
      </c>
      <c r="L57">
        <f t="shared" si="12"/>
        <v>802.84500000000003</v>
      </c>
      <c r="N57">
        <v>9.4</v>
      </c>
      <c r="O57">
        <v>533.33333333333337</v>
      </c>
      <c r="P57">
        <f t="shared" si="8"/>
        <v>56.140350877192986</v>
      </c>
      <c r="Q57">
        <f t="shared" si="9"/>
        <v>527.71929824561414</v>
      </c>
      <c r="S57">
        <f t="shared" si="10"/>
        <v>527.71929824561414</v>
      </c>
      <c r="U57" s="30">
        <v>45829</v>
      </c>
      <c r="V57" s="7">
        <f t="shared" si="13"/>
        <v>1330.5642982456143</v>
      </c>
      <c r="W57" s="12">
        <v>15640</v>
      </c>
    </row>
    <row r="58" spans="4:23" x14ac:dyDescent="0.25">
      <c r="D58" s="48">
        <v>45830</v>
      </c>
      <c r="G58">
        <v>0</v>
      </c>
      <c r="H58">
        <v>900</v>
      </c>
      <c r="I58">
        <f t="shared" si="11"/>
        <v>85.5</v>
      </c>
      <c r="J58">
        <f t="shared" si="7"/>
        <v>0</v>
      </c>
      <c r="K58">
        <v>0</v>
      </c>
      <c r="L58">
        <f t="shared" si="12"/>
        <v>0</v>
      </c>
      <c r="N58">
        <v>0</v>
      </c>
      <c r="O58">
        <v>533.33333333333337</v>
      </c>
      <c r="P58">
        <f t="shared" si="8"/>
        <v>56.140350877192986</v>
      </c>
      <c r="Q58">
        <f t="shared" si="9"/>
        <v>0</v>
      </c>
      <c r="R58">
        <v>0</v>
      </c>
      <c r="S58">
        <f t="shared" si="10"/>
        <v>0</v>
      </c>
      <c r="U58" s="48">
        <v>45830</v>
      </c>
      <c r="V58" s="7">
        <f t="shared" si="13"/>
        <v>0</v>
      </c>
      <c r="W58" s="12">
        <v>0</v>
      </c>
    </row>
    <row r="59" spans="4:23" x14ac:dyDescent="0.25">
      <c r="D59" s="30">
        <v>45831</v>
      </c>
      <c r="G59">
        <v>12.19</v>
      </c>
      <c r="H59">
        <v>900</v>
      </c>
      <c r="I59">
        <f t="shared" si="11"/>
        <v>85.5</v>
      </c>
      <c r="J59">
        <f t="shared" si="7"/>
        <v>1042.2449999999999</v>
      </c>
      <c r="L59">
        <f t="shared" si="12"/>
        <v>1042.2449999999999</v>
      </c>
      <c r="N59">
        <v>12.08</v>
      </c>
      <c r="O59">
        <v>533.33333333333337</v>
      </c>
      <c r="P59">
        <f t="shared" si="8"/>
        <v>56.140350877192986</v>
      </c>
      <c r="Q59">
        <f t="shared" si="9"/>
        <v>678.17543859649129</v>
      </c>
      <c r="S59">
        <f t="shared" si="10"/>
        <v>678.17543859649129</v>
      </c>
      <c r="U59" s="30">
        <v>45831</v>
      </c>
      <c r="V59" s="7">
        <f t="shared" si="13"/>
        <v>1720.4204385964913</v>
      </c>
      <c r="W59" s="12">
        <v>19450</v>
      </c>
    </row>
    <row r="60" spans="4:23" x14ac:dyDescent="0.25">
      <c r="D60" s="30">
        <v>45832</v>
      </c>
      <c r="G60">
        <v>12.16</v>
      </c>
      <c r="H60">
        <v>900</v>
      </c>
      <c r="I60">
        <f t="shared" si="11"/>
        <v>85.5</v>
      </c>
      <c r="J60">
        <f t="shared" si="7"/>
        <v>1039.68</v>
      </c>
      <c r="L60">
        <f t="shared" si="12"/>
        <v>1039.68</v>
      </c>
      <c r="N60">
        <v>12.13</v>
      </c>
      <c r="O60">
        <v>533.33333333333337</v>
      </c>
      <c r="P60">
        <f t="shared" si="8"/>
        <v>56.140350877192986</v>
      </c>
      <c r="Q60">
        <f t="shared" si="9"/>
        <v>680.98245614035102</v>
      </c>
      <c r="S60">
        <f t="shared" si="10"/>
        <v>680.98245614035102</v>
      </c>
      <c r="U60" s="30">
        <v>45832</v>
      </c>
      <c r="V60" s="7">
        <f t="shared" si="13"/>
        <v>1720.662456140351</v>
      </c>
      <c r="W60" s="12">
        <v>19444.5</v>
      </c>
    </row>
    <row r="61" spans="4:23" x14ac:dyDescent="0.25">
      <c r="D61" s="30">
        <v>45833</v>
      </c>
      <c r="G61">
        <v>12.09</v>
      </c>
      <c r="H61">
        <v>900</v>
      </c>
      <c r="I61">
        <f t="shared" si="11"/>
        <v>85.5</v>
      </c>
      <c r="J61">
        <f t="shared" si="7"/>
        <v>1033.6949999999999</v>
      </c>
      <c r="L61">
        <f t="shared" si="12"/>
        <v>1033.6949999999999</v>
      </c>
      <c r="N61">
        <v>12.09</v>
      </c>
      <c r="O61">
        <v>533.33333333333337</v>
      </c>
      <c r="P61">
        <f t="shared" si="8"/>
        <v>56.140350877192986</v>
      </c>
      <c r="Q61">
        <f t="shared" si="9"/>
        <v>678.73684210526324</v>
      </c>
      <c r="S61">
        <f t="shared" si="10"/>
        <v>678.73684210526324</v>
      </c>
      <c r="U61" s="30">
        <v>45833</v>
      </c>
      <c r="V61" s="7">
        <f t="shared" si="13"/>
        <v>1712.4318421052631</v>
      </c>
      <c r="W61" s="12">
        <v>18274</v>
      </c>
    </row>
    <row r="62" spans="4:23" x14ac:dyDescent="0.25">
      <c r="D62" s="30">
        <v>45834</v>
      </c>
      <c r="G62">
        <v>12.24</v>
      </c>
      <c r="H62">
        <v>900</v>
      </c>
      <c r="I62">
        <f t="shared" si="11"/>
        <v>85.5</v>
      </c>
      <c r="J62">
        <f t="shared" si="7"/>
        <v>1046.52</v>
      </c>
      <c r="L62">
        <f t="shared" si="12"/>
        <v>1046.52</v>
      </c>
      <c r="N62">
        <v>12.26</v>
      </c>
      <c r="O62">
        <v>533.33333333333337</v>
      </c>
      <c r="P62">
        <f t="shared" si="8"/>
        <v>56.140350877192986</v>
      </c>
      <c r="Q62">
        <f t="shared" si="9"/>
        <v>688.28070175438597</v>
      </c>
      <c r="S62">
        <f t="shared" si="10"/>
        <v>688.28070175438597</v>
      </c>
      <c r="U62" s="30">
        <v>45834</v>
      </c>
      <c r="V62" s="7">
        <f t="shared" si="13"/>
        <v>1734.800701754386</v>
      </c>
      <c r="W62" s="12">
        <v>18253.125</v>
      </c>
    </row>
    <row r="63" spans="4:23" x14ac:dyDescent="0.25">
      <c r="D63" s="30">
        <v>45835</v>
      </c>
      <c r="G63">
        <v>7.29</v>
      </c>
      <c r="H63">
        <v>900</v>
      </c>
      <c r="I63">
        <f t="shared" si="11"/>
        <v>85.5</v>
      </c>
      <c r="J63">
        <f t="shared" si="7"/>
        <v>623.29499999999996</v>
      </c>
      <c r="L63">
        <f t="shared" si="12"/>
        <v>623.29499999999996</v>
      </c>
      <c r="N63">
        <v>11.09</v>
      </c>
      <c r="O63">
        <v>533.33333333333337</v>
      </c>
      <c r="P63">
        <f t="shared" si="8"/>
        <v>56.140350877192986</v>
      </c>
      <c r="Q63">
        <f t="shared" si="9"/>
        <v>622.59649122807025</v>
      </c>
      <c r="S63">
        <f t="shared" si="10"/>
        <v>622.59649122807025</v>
      </c>
      <c r="U63" s="30">
        <v>45835</v>
      </c>
      <c r="V63" s="7">
        <f t="shared" si="13"/>
        <v>1245.8914912280702</v>
      </c>
      <c r="W63" s="12">
        <v>18131</v>
      </c>
    </row>
    <row r="64" spans="4:23" x14ac:dyDescent="0.25">
      <c r="D64" s="30">
        <v>45836</v>
      </c>
      <c r="G64">
        <v>11.59</v>
      </c>
      <c r="H64">
        <v>900</v>
      </c>
      <c r="I64">
        <f t="shared" si="11"/>
        <v>85.5</v>
      </c>
      <c r="J64">
        <f t="shared" si="7"/>
        <v>990.94499999999994</v>
      </c>
      <c r="L64">
        <f t="shared" si="12"/>
        <v>990.94499999999994</v>
      </c>
      <c r="N64">
        <v>9.3800000000000008</v>
      </c>
      <c r="O64">
        <v>533.33333333333337</v>
      </c>
      <c r="P64">
        <f t="shared" si="8"/>
        <v>56.140350877192986</v>
      </c>
      <c r="Q64">
        <f t="shared" si="9"/>
        <v>526.59649122807025</v>
      </c>
      <c r="S64">
        <f t="shared" si="10"/>
        <v>526.59649122807025</v>
      </c>
      <c r="U64" s="30">
        <v>45836</v>
      </c>
      <c r="V64" s="7">
        <f t="shared" si="13"/>
        <v>1517.5414912280703</v>
      </c>
      <c r="W64" s="12">
        <v>19172</v>
      </c>
    </row>
    <row r="65" spans="4:28" x14ac:dyDescent="0.25">
      <c r="D65" s="48">
        <v>45837</v>
      </c>
      <c r="G65">
        <v>7.04</v>
      </c>
      <c r="H65">
        <v>900</v>
      </c>
      <c r="I65">
        <f t="shared" si="11"/>
        <v>85.5</v>
      </c>
      <c r="J65">
        <f t="shared" si="7"/>
        <v>601.91999999999996</v>
      </c>
      <c r="K65">
        <v>900</v>
      </c>
      <c r="L65">
        <f t="shared" si="12"/>
        <v>1501.92</v>
      </c>
      <c r="N65">
        <v>0</v>
      </c>
      <c r="O65">
        <v>533.33333333333337</v>
      </c>
      <c r="P65">
        <f t="shared" si="8"/>
        <v>56.140350877192986</v>
      </c>
      <c r="Q65">
        <f t="shared" si="9"/>
        <v>0</v>
      </c>
      <c r="R65">
        <v>533.33333333333337</v>
      </c>
      <c r="S65">
        <f t="shared" si="10"/>
        <v>533.33333333333337</v>
      </c>
      <c r="U65" s="48">
        <v>45837</v>
      </c>
      <c r="V65" s="7">
        <f t="shared" si="13"/>
        <v>2035.2533333333336</v>
      </c>
      <c r="W65" s="12">
        <v>13830.666666666666</v>
      </c>
    </row>
    <row r="66" spans="4:28" x14ac:dyDescent="0.25">
      <c r="D66" s="30">
        <v>45838</v>
      </c>
      <c r="G66">
        <v>11.59</v>
      </c>
      <c r="H66">
        <v>900</v>
      </c>
      <c r="I66">
        <f t="shared" si="11"/>
        <v>85.5</v>
      </c>
      <c r="J66">
        <f t="shared" si="7"/>
        <v>990.94499999999994</v>
      </c>
      <c r="L66">
        <f t="shared" si="12"/>
        <v>990.94499999999994</v>
      </c>
      <c r="N66">
        <v>9.4499999999999993</v>
      </c>
      <c r="O66">
        <v>533.33333333333337</v>
      </c>
      <c r="P66">
        <f t="shared" si="8"/>
        <v>56.140350877192986</v>
      </c>
      <c r="Q66">
        <f t="shared" si="9"/>
        <v>530.52631578947364</v>
      </c>
      <c r="S66">
        <f t="shared" si="10"/>
        <v>530.52631578947364</v>
      </c>
      <c r="U66" s="30">
        <v>45838</v>
      </c>
      <c r="V66" s="7">
        <f t="shared" si="13"/>
        <v>1521.4713157894735</v>
      </c>
      <c r="W66" s="12">
        <v>19402</v>
      </c>
    </row>
    <row r="67" spans="4:28" x14ac:dyDescent="0.25">
      <c r="V67" s="7">
        <f>SUM(V37:V66)</f>
        <v>47938.956140350871</v>
      </c>
      <c r="W67" s="7">
        <f>SUM(W37:W66)</f>
        <v>441542.66666666669</v>
      </c>
      <c r="Y67" s="11">
        <f>+V67/W67*100</f>
        <v>10.857151473549752</v>
      </c>
    </row>
    <row r="69" spans="4:28" x14ac:dyDescent="0.25">
      <c r="D69" t="s">
        <v>120</v>
      </c>
      <c r="E69" t="s">
        <v>121</v>
      </c>
      <c r="I69" t="s">
        <v>122</v>
      </c>
      <c r="M69" t="s">
        <v>123</v>
      </c>
      <c r="Q69" t="s">
        <v>124</v>
      </c>
      <c r="U69" t="s">
        <v>125</v>
      </c>
      <c r="W69" t="s">
        <v>126</v>
      </c>
      <c r="AA69" s="51" t="s">
        <v>8</v>
      </c>
      <c r="AB69" s="12" t="s">
        <v>118</v>
      </c>
    </row>
    <row r="70" spans="4:28" x14ac:dyDescent="0.25">
      <c r="D70" s="30">
        <v>45839</v>
      </c>
      <c r="E70">
        <v>12.02</v>
      </c>
      <c r="F70">
        <v>66</v>
      </c>
      <c r="G70">
        <f>+E70*F70</f>
        <v>793.31999999999994</v>
      </c>
      <c r="I70">
        <v>12</v>
      </c>
      <c r="J70">
        <v>111</v>
      </c>
      <c r="K70">
        <f>+I70*J70</f>
        <v>1332</v>
      </c>
      <c r="M70">
        <v>0</v>
      </c>
      <c r="N70">
        <v>47</v>
      </c>
      <c r="O70">
        <f>+M70*N70</f>
        <v>0</v>
      </c>
      <c r="Q70">
        <v>9.44</v>
      </c>
      <c r="R70">
        <v>70</v>
      </c>
      <c r="S70">
        <f>+Q70*R70</f>
        <v>660.8</v>
      </c>
      <c r="U70">
        <v>385</v>
      </c>
      <c r="W70">
        <v>0</v>
      </c>
      <c r="X70">
        <v>64</v>
      </c>
      <c r="Y70">
        <f>+W70*X70</f>
        <v>0</v>
      </c>
      <c r="AA70" s="51">
        <f t="shared" ref="AA70:AA100" si="14">+G70+K70+O70+S70+U70+Y70</f>
        <v>3171.12</v>
      </c>
      <c r="AB70">
        <v>19101</v>
      </c>
    </row>
    <row r="71" spans="4:28" x14ac:dyDescent="0.25">
      <c r="D71" s="30">
        <v>45840</v>
      </c>
      <c r="E71">
        <v>11.56</v>
      </c>
      <c r="F71">
        <v>66</v>
      </c>
      <c r="G71">
        <f t="shared" ref="G71:G100" si="15">+E71*F71</f>
        <v>762.96</v>
      </c>
      <c r="I71">
        <v>11.57</v>
      </c>
      <c r="J71">
        <v>111</v>
      </c>
      <c r="K71">
        <f t="shared" ref="K71:K100" si="16">+I71*J71</f>
        <v>1284.27</v>
      </c>
      <c r="M71">
        <v>0</v>
      </c>
      <c r="N71">
        <v>47</v>
      </c>
      <c r="O71">
        <f t="shared" ref="O71:O100" si="17">+M71*N71</f>
        <v>0</v>
      </c>
      <c r="Q71">
        <v>12.16</v>
      </c>
      <c r="R71">
        <v>70</v>
      </c>
      <c r="S71">
        <f t="shared" ref="S71:S100" si="18">+Q71*R71</f>
        <v>851.2</v>
      </c>
      <c r="U71">
        <v>280</v>
      </c>
      <c r="W71">
        <v>0</v>
      </c>
      <c r="X71">
        <v>64</v>
      </c>
      <c r="Y71">
        <f t="shared" ref="Y71:Y100" si="19">+W71*X71</f>
        <v>0</v>
      </c>
      <c r="AA71" s="51">
        <f t="shared" si="14"/>
        <v>3178.4300000000003</v>
      </c>
      <c r="AB71">
        <v>20220</v>
      </c>
    </row>
    <row r="72" spans="4:28" x14ac:dyDescent="0.25">
      <c r="D72" s="30">
        <v>45841</v>
      </c>
      <c r="E72">
        <v>12.07</v>
      </c>
      <c r="F72">
        <v>66</v>
      </c>
      <c r="G72">
        <f t="shared" si="15"/>
        <v>796.62</v>
      </c>
      <c r="I72">
        <v>12.04</v>
      </c>
      <c r="J72">
        <v>111</v>
      </c>
      <c r="K72">
        <f t="shared" si="16"/>
        <v>1336.4399999999998</v>
      </c>
      <c r="M72">
        <v>0</v>
      </c>
      <c r="N72">
        <v>47</v>
      </c>
      <c r="O72">
        <f t="shared" si="17"/>
        <v>0</v>
      </c>
      <c r="Q72">
        <v>12.13</v>
      </c>
      <c r="R72">
        <v>70</v>
      </c>
      <c r="S72">
        <f t="shared" si="18"/>
        <v>849.1</v>
      </c>
      <c r="U72">
        <v>385</v>
      </c>
      <c r="W72">
        <v>0</v>
      </c>
      <c r="X72">
        <v>64</v>
      </c>
      <c r="Y72">
        <f t="shared" si="19"/>
        <v>0</v>
      </c>
      <c r="AA72" s="51">
        <f t="shared" si="14"/>
        <v>3367.16</v>
      </c>
      <c r="AB72">
        <v>19448</v>
      </c>
    </row>
    <row r="73" spans="4:28" x14ac:dyDescent="0.25">
      <c r="D73" s="30">
        <v>45842</v>
      </c>
      <c r="E73">
        <v>9.42</v>
      </c>
      <c r="F73">
        <v>66</v>
      </c>
      <c r="G73">
        <f t="shared" si="15"/>
        <v>621.72</v>
      </c>
      <c r="I73">
        <v>11.55</v>
      </c>
      <c r="J73">
        <v>111</v>
      </c>
      <c r="K73">
        <f t="shared" si="16"/>
        <v>1282.0500000000002</v>
      </c>
      <c r="M73">
        <v>0</v>
      </c>
      <c r="N73">
        <v>47</v>
      </c>
      <c r="O73">
        <f t="shared" si="17"/>
        <v>0</v>
      </c>
      <c r="Q73">
        <v>12.04</v>
      </c>
      <c r="R73">
        <v>70</v>
      </c>
      <c r="S73">
        <f t="shared" si="18"/>
        <v>842.8</v>
      </c>
      <c r="U73">
        <v>385</v>
      </c>
      <c r="W73">
        <v>12</v>
      </c>
      <c r="X73">
        <v>64</v>
      </c>
      <c r="Y73">
        <f t="shared" si="19"/>
        <v>768</v>
      </c>
      <c r="AA73" s="51">
        <f t="shared" si="14"/>
        <v>3899.57</v>
      </c>
      <c r="AB73">
        <v>20227</v>
      </c>
    </row>
    <row r="74" spans="4:28" x14ac:dyDescent="0.25">
      <c r="D74" s="30">
        <v>45843</v>
      </c>
      <c r="E74">
        <v>9.41</v>
      </c>
      <c r="F74">
        <v>66</v>
      </c>
      <c r="G74">
        <f t="shared" si="15"/>
        <v>621.06000000000006</v>
      </c>
      <c r="I74">
        <v>9.41</v>
      </c>
      <c r="J74">
        <v>111</v>
      </c>
      <c r="K74">
        <f t="shared" si="16"/>
        <v>1044.51</v>
      </c>
      <c r="M74">
        <v>0</v>
      </c>
      <c r="N74">
        <v>47</v>
      </c>
      <c r="O74">
        <f t="shared" si="17"/>
        <v>0</v>
      </c>
      <c r="Q74">
        <v>9.3699999999999992</v>
      </c>
      <c r="R74">
        <v>70</v>
      </c>
      <c r="S74">
        <f t="shared" si="18"/>
        <v>655.9</v>
      </c>
      <c r="U74">
        <v>300</v>
      </c>
      <c r="W74">
        <v>9.3699999999999992</v>
      </c>
      <c r="X74">
        <v>64</v>
      </c>
      <c r="Y74">
        <f t="shared" si="19"/>
        <v>599.67999999999995</v>
      </c>
      <c r="AA74" s="51">
        <f t="shared" si="14"/>
        <v>3221.15</v>
      </c>
      <c r="AB74">
        <v>15316.25</v>
      </c>
    </row>
    <row r="75" spans="4:28" x14ac:dyDescent="0.25">
      <c r="D75" s="30">
        <v>45844</v>
      </c>
      <c r="F75">
        <v>66</v>
      </c>
      <c r="G75">
        <f t="shared" si="15"/>
        <v>0</v>
      </c>
      <c r="J75">
        <v>111</v>
      </c>
      <c r="K75">
        <f t="shared" si="16"/>
        <v>0</v>
      </c>
      <c r="M75">
        <v>0</v>
      </c>
      <c r="N75">
        <v>47</v>
      </c>
      <c r="O75">
        <f t="shared" si="17"/>
        <v>0</v>
      </c>
      <c r="Q75">
        <v>0</v>
      </c>
      <c r="R75">
        <v>70</v>
      </c>
      <c r="S75">
        <f t="shared" si="18"/>
        <v>0</v>
      </c>
      <c r="U75">
        <v>0</v>
      </c>
      <c r="W75">
        <v>0</v>
      </c>
      <c r="X75">
        <v>64</v>
      </c>
      <c r="Y75">
        <f t="shared" si="19"/>
        <v>0</v>
      </c>
      <c r="AA75" s="51">
        <f t="shared" si="14"/>
        <v>0</v>
      </c>
      <c r="AB75">
        <v>0</v>
      </c>
    </row>
    <row r="76" spans="4:28" x14ac:dyDescent="0.25">
      <c r="D76" s="30">
        <v>45845</v>
      </c>
      <c r="F76">
        <v>66</v>
      </c>
      <c r="G76">
        <f t="shared" si="15"/>
        <v>0</v>
      </c>
      <c r="I76">
        <v>9.4499999999999993</v>
      </c>
      <c r="J76">
        <v>111</v>
      </c>
      <c r="K76">
        <f t="shared" si="16"/>
        <v>1048.9499999999998</v>
      </c>
      <c r="M76">
        <v>0</v>
      </c>
      <c r="N76">
        <v>47</v>
      </c>
      <c r="O76">
        <f t="shared" si="17"/>
        <v>0</v>
      </c>
      <c r="Q76">
        <v>12.1</v>
      </c>
      <c r="R76">
        <v>70</v>
      </c>
      <c r="S76">
        <f t="shared" si="18"/>
        <v>847</v>
      </c>
      <c r="U76">
        <v>413</v>
      </c>
      <c r="W76">
        <v>12.08</v>
      </c>
      <c r="X76">
        <v>64</v>
      </c>
      <c r="Y76">
        <f t="shared" si="19"/>
        <v>773.12</v>
      </c>
      <c r="AA76" s="51">
        <f t="shared" si="14"/>
        <v>3082.0699999999997</v>
      </c>
      <c r="AB76">
        <v>19340.25</v>
      </c>
    </row>
    <row r="77" spans="4:28" x14ac:dyDescent="0.25">
      <c r="D77" s="30">
        <v>45846</v>
      </c>
      <c r="E77">
        <v>10.119999999999999</v>
      </c>
      <c r="F77">
        <v>66</v>
      </c>
      <c r="G77">
        <f t="shared" si="15"/>
        <v>667.92</v>
      </c>
      <c r="I77">
        <v>12.11</v>
      </c>
      <c r="J77">
        <v>111</v>
      </c>
      <c r="K77">
        <f t="shared" si="16"/>
        <v>1344.21</v>
      </c>
      <c r="M77">
        <v>8.3000000000000007</v>
      </c>
      <c r="N77">
        <v>47</v>
      </c>
      <c r="O77">
        <f t="shared" si="17"/>
        <v>390.1</v>
      </c>
      <c r="Q77">
        <v>9.33</v>
      </c>
      <c r="R77">
        <v>70</v>
      </c>
      <c r="S77">
        <f t="shared" si="18"/>
        <v>653.1</v>
      </c>
      <c r="U77">
        <v>413</v>
      </c>
      <c r="W77">
        <v>12.09</v>
      </c>
      <c r="X77">
        <v>64</v>
      </c>
      <c r="Y77">
        <f t="shared" si="19"/>
        <v>773.76</v>
      </c>
      <c r="AA77" s="51">
        <f t="shared" si="14"/>
        <v>4242.09</v>
      </c>
      <c r="AB77">
        <v>20686</v>
      </c>
    </row>
    <row r="78" spans="4:28" x14ac:dyDescent="0.25">
      <c r="D78" s="30">
        <v>45847</v>
      </c>
      <c r="E78">
        <v>9.3699999999999992</v>
      </c>
      <c r="F78">
        <v>66</v>
      </c>
      <c r="G78">
        <f t="shared" si="15"/>
        <v>618.41999999999996</v>
      </c>
      <c r="I78">
        <v>4.24</v>
      </c>
      <c r="J78">
        <v>111</v>
      </c>
      <c r="K78">
        <f t="shared" si="16"/>
        <v>470.64000000000004</v>
      </c>
      <c r="M78">
        <v>0</v>
      </c>
      <c r="N78">
        <v>47</v>
      </c>
      <c r="O78">
        <f t="shared" si="17"/>
        <v>0</v>
      </c>
      <c r="Q78">
        <v>10.43</v>
      </c>
      <c r="R78">
        <v>70</v>
      </c>
      <c r="S78">
        <f t="shared" si="18"/>
        <v>730.1</v>
      </c>
      <c r="U78">
        <v>413</v>
      </c>
      <c r="W78">
        <v>12.06</v>
      </c>
      <c r="X78">
        <v>64</v>
      </c>
      <c r="Y78">
        <f t="shared" si="19"/>
        <v>771.84</v>
      </c>
      <c r="AA78" s="51">
        <f t="shared" si="14"/>
        <v>3004</v>
      </c>
      <c r="AB78">
        <v>21121.375</v>
      </c>
    </row>
    <row r="79" spans="4:28" x14ac:dyDescent="0.25">
      <c r="D79" s="30">
        <v>45848</v>
      </c>
      <c r="F79">
        <v>66</v>
      </c>
      <c r="G79">
        <f t="shared" si="15"/>
        <v>0</v>
      </c>
      <c r="I79">
        <v>11.49</v>
      </c>
      <c r="J79">
        <v>111</v>
      </c>
      <c r="K79">
        <f t="shared" si="16"/>
        <v>1275.3900000000001</v>
      </c>
      <c r="M79">
        <v>12.3</v>
      </c>
      <c r="N79">
        <v>47</v>
      </c>
      <c r="O79">
        <f t="shared" si="17"/>
        <v>578.1</v>
      </c>
      <c r="Q79">
        <v>10.49</v>
      </c>
      <c r="R79">
        <v>70</v>
      </c>
      <c r="S79">
        <f t="shared" si="18"/>
        <v>734.30000000000007</v>
      </c>
      <c r="U79">
        <v>413</v>
      </c>
      <c r="W79">
        <v>12.04</v>
      </c>
      <c r="X79">
        <v>64</v>
      </c>
      <c r="Y79">
        <f t="shared" si="19"/>
        <v>770.56</v>
      </c>
      <c r="AA79" s="51">
        <f t="shared" si="14"/>
        <v>3771.3500000000004</v>
      </c>
      <c r="AB79">
        <v>19639</v>
      </c>
    </row>
    <row r="80" spans="4:28" x14ac:dyDescent="0.25">
      <c r="D80" s="30">
        <v>45849</v>
      </c>
      <c r="F80">
        <v>66</v>
      </c>
      <c r="G80">
        <f t="shared" si="15"/>
        <v>0</v>
      </c>
      <c r="I80">
        <v>9.3699999999999992</v>
      </c>
      <c r="J80">
        <v>111</v>
      </c>
      <c r="K80">
        <f t="shared" si="16"/>
        <v>1040.07</v>
      </c>
      <c r="M80">
        <v>9.5500000000000007</v>
      </c>
      <c r="N80">
        <v>47</v>
      </c>
      <c r="O80">
        <f t="shared" si="17"/>
        <v>448.85</v>
      </c>
      <c r="Q80">
        <v>9.39</v>
      </c>
      <c r="R80">
        <v>70</v>
      </c>
      <c r="S80">
        <f t="shared" si="18"/>
        <v>657.30000000000007</v>
      </c>
      <c r="U80">
        <v>0</v>
      </c>
      <c r="W80">
        <v>9.0399999999999991</v>
      </c>
      <c r="X80">
        <v>64</v>
      </c>
      <c r="Y80">
        <f t="shared" si="19"/>
        <v>578.55999999999995</v>
      </c>
      <c r="AA80" s="51">
        <f t="shared" si="14"/>
        <v>2724.78</v>
      </c>
      <c r="AB80">
        <v>17028.75</v>
      </c>
    </row>
    <row r="81" spans="4:28" x14ac:dyDescent="0.25">
      <c r="D81" s="30">
        <v>45850</v>
      </c>
      <c r="E81">
        <v>9.48</v>
      </c>
      <c r="F81">
        <v>66</v>
      </c>
      <c r="G81">
        <f t="shared" si="15"/>
        <v>625.68000000000006</v>
      </c>
      <c r="I81">
        <v>9.4700000000000006</v>
      </c>
      <c r="J81">
        <v>111</v>
      </c>
      <c r="K81">
        <f t="shared" si="16"/>
        <v>1051.17</v>
      </c>
      <c r="M81">
        <v>12</v>
      </c>
      <c r="N81">
        <v>47</v>
      </c>
      <c r="O81">
        <f t="shared" si="17"/>
        <v>564</v>
      </c>
      <c r="Q81">
        <v>12.06</v>
      </c>
      <c r="R81">
        <v>70</v>
      </c>
      <c r="S81">
        <f t="shared" si="18"/>
        <v>844.2</v>
      </c>
      <c r="U81">
        <v>413</v>
      </c>
      <c r="W81">
        <v>12.08</v>
      </c>
      <c r="X81">
        <v>64</v>
      </c>
      <c r="Y81">
        <f t="shared" si="19"/>
        <v>773.12</v>
      </c>
      <c r="AA81" s="51">
        <f t="shared" si="14"/>
        <v>4271.17</v>
      </c>
      <c r="AB81">
        <v>21448</v>
      </c>
    </row>
    <row r="82" spans="4:28" x14ac:dyDescent="0.25">
      <c r="D82" s="30">
        <v>45851</v>
      </c>
      <c r="E82">
        <v>8.56</v>
      </c>
      <c r="F82">
        <v>66</v>
      </c>
      <c r="G82">
        <f t="shared" si="15"/>
        <v>564.96</v>
      </c>
      <c r="I82">
        <v>9.2799999999999994</v>
      </c>
      <c r="J82">
        <v>111</v>
      </c>
      <c r="K82">
        <f t="shared" si="16"/>
        <v>1030.08</v>
      </c>
      <c r="M82">
        <v>12.08</v>
      </c>
      <c r="N82">
        <v>47</v>
      </c>
      <c r="O82">
        <f t="shared" si="17"/>
        <v>567.76</v>
      </c>
      <c r="Q82">
        <v>9.4</v>
      </c>
      <c r="R82">
        <v>70</v>
      </c>
      <c r="S82">
        <f t="shared" si="18"/>
        <v>658</v>
      </c>
      <c r="U82">
        <v>300</v>
      </c>
      <c r="W82">
        <v>12.1</v>
      </c>
      <c r="X82">
        <v>64</v>
      </c>
      <c r="Y82">
        <f t="shared" si="19"/>
        <v>774.4</v>
      </c>
      <c r="AA82" s="51">
        <f t="shared" si="14"/>
        <v>3895.2000000000003</v>
      </c>
      <c r="AB82">
        <v>15100</v>
      </c>
    </row>
    <row r="83" spans="4:28" x14ac:dyDescent="0.25">
      <c r="D83" s="30">
        <v>45852</v>
      </c>
      <c r="E83">
        <v>8.5</v>
      </c>
      <c r="F83">
        <v>66</v>
      </c>
      <c r="G83">
        <f t="shared" si="15"/>
        <v>561</v>
      </c>
      <c r="I83">
        <v>11.29</v>
      </c>
      <c r="J83">
        <v>111</v>
      </c>
      <c r="K83">
        <f t="shared" si="16"/>
        <v>1253.1899999999998</v>
      </c>
      <c r="M83">
        <v>12.15</v>
      </c>
      <c r="N83">
        <v>47</v>
      </c>
      <c r="O83">
        <f t="shared" si="17"/>
        <v>571.05000000000007</v>
      </c>
      <c r="Q83">
        <v>12.09</v>
      </c>
      <c r="R83">
        <v>70</v>
      </c>
      <c r="S83">
        <f t="shared" si="18"/>
        <v>846.3</v>
      </c>
      <c r="U83">
        <v>413</v>
      </c>
      <c r="W83">
        <v>12.05</v>
      </c>
      <c r="X83">
        <v>64</v>
      </c>
      <c r="Y83">
        <f t="shared" si="19"/>
        <v>771.2</v>
      </c>
      <c r="AA83" s="51">
        <f t="shared" si="14"/>
        <v>4415.74</v>
      </c>
      <c r="AB83">
        <v>18976.25</v>
      </c>
    </row>
    <row r="84" spans="4:28" x14ac:dyDescent="0.25">
      <c r="D84" s="30">
        <v>45853</v>
      </c>
      <c r="E84">
        <v>8.51</v>
      </c>
      <c r="F84">
        <v>66</v>
      </c>
      <c r="G84">
        <f t="shared" si="15"/>
        <v>561.66</v>
      </c>
      <c r="I84">
        <v>8.48</v>
      </c>
      <c r="J84">
        <v>111</v>
      </c>
      <c r="K84">
        <f t="shared" si="16"/>
        <v>941.28000000000009</v>
      </c>
      <c r="M84">
        <v>9.4600000000000009</v>
      </c>
      <c r="N84">
        <v>47</v>
      </c>
      <c r="O84">
        <f t="shared" si="17"/>
        <v>444.62000000000006</v>
      </c>
      <c r="Q84">
        <v>9.3800000000000008</v>
      </c>
      <c r="R84">
        <v>70</v>
      </c>
      <c r="S84">
        <f t="shared" si="18"/>
        <v>656.6</v>
      </c>
      <c r="U84">
        <v>300</v>
      </c>
      <c r="W84">
        <v>9.3800000000000008</v>
      </c>
      <c r="X84">
        <v>64</v>
      </c>
      <c r="Y84">
        <f t="shared" si="19"/>
        <v>600.32000000000005</v>
      </c>
      <c r="AA84" s="51">
        <f t="shared" si="14"/>
        <v>3504.4800000000005</v>
      </c>
      <c r="AB84">
        <v>15475</v>
      </c>
    </row>
    <row r="85" spans="4:28" x14ac:dyDescent="0.25">
      <c r="D85" s="30">
        <v>45854</v>
      </c>
      <c r="E85">
        <v>11.43</v>
      </c>
      <c r="F85">
        <v>66</v>
      </c>
      <c r="G85">
        <f t="shared" si="15"/>
        <v>754.38</v>
      </c>
      <c r="I85">
        <v>11.43</v>
      </c>
      <c r="J85">
        <v>111</v>
      </c>
      <c r="K85">
        <f t="shared" si="16"/>
        <v>1268.73</v>
      </c>
      <c r="M85">
        <v>12.17</v>
      </c>
      <c r="N85">
        <v>47</v>
      </c>
      <c r="O85">
        <f t="shared" si="17"/>
        <v>571.99</v>
      </c>
      <c r="Q85">
        <v>9.36</v>
      </c>
      <c r="R85">
        <v>70</v>
      </c>
      <c r="S85">
        <f t="shared" si="18"/>
        <v>655.19999999999993</v>
      </c>
      <c r="U85">
        <v>413</v>
      </c>
      <c r="W85">
        <v>12.1</v>
      </c>
      <c r="X85">
        <v>64</v>
      </c>
      <c r="Y85">
        <f t="shared" si="19"/>
        <v>774.4</v>
      </c>
      <c r="AA85" s="51">
        <f t="shared" si="14"/>
        <v>4437.7</v>
      </c>
      <c r="AB85">
        <v>19583.5</v>
      </c>
    </row>
    <row r="86" spans="4:28" x14ac:dyDescent="0.25">
      <c r="D86" s="30">
        <v>45855</v>
      </c>
      <c r="E86">
        <v>11.34</v>
      </c>
      <c r="F86">
        <v>66</v>
      </c>
      <c r="G86">
        <f t="shared" si="15"/>
        <v>748.43999999999994</v>
      </c>
      <c r="I86">
        <v>11.44</v>
      </c>
      <c r="J86">
        <v>111</v>
      </c>
      <c r="K86">
        <f t="shared" si="16"/>
        <v>1269.8399999999999</v>
      </c>
      <c r="M86">
        <v>12.18</v>
      </c>
      <c r="N86">
        <v>47</v>
      </c>
      <c r="O86">
        <f t="shared" si="17"/>
        <v>572.46</v>
      </c>
      <c r="Q86">
        <v>9.34</v>
      </c>
      <c r="R86">
        <v>70</v>
      </c>
      <c r="S86">
        <f t="shared" si="18"/>
        <v>653.79999999999995</v>
      </c>
      <c r="U86">
        <v>413</v>
      </c>
      <c r="W86">
        <v>12.05</v>
      </c>
      <c r="X86">
        <v>64</v>
      </c>
      <c r="Y86">
        <f t="shared" si="19"/>
        <v>771.2</v>
      </c>
      <c r="AA86" s="51">
        <f t="shared" si="14"/>
        <v>4428.74</v>
      </c>
      <c r="AB86">
        <v>21265</v>
      </c>
    </row>
    <row r="87" spans="4:28" x14ac:dyDescent="0.25">
      <c r="D87" s="30">
        <v>45856</v>
      </c>
      <c r="E87">
        <v>11.57</v>
      </c>
      <c r="F87">
        <v>66</v>
      </c>
      <c r="G87">
        <f t="shared" si="15"/>
        <v>763.62</v>
      </c>
      <c r="I87">
        <v>11.54</v>
      </c>
      <c r="J87">
        <v>111</v>
      </c>
      <c r="K87">
        <f t="shared" si="16"/>
        <v>1280.9399999999998</v>
      </c>
      <c r="M87">
        <v>12.16</v>
      </c>
      <c r="N87">
        <v>47</v>
      </c>
      <c r="O87">
        <f t="shared" si="17"/>
        <v>571.52</v>
      </c>
      <c r="Q87">
        <v>9.5</v>
      </c>
      <c r="R87">
        <v>70</v>
      </c>
      <c r="S87">
        <f t="shared" si="18"/>
        <v>665</v>
      </c>
      <c r="U87">
        <v>413</v>
      </c>
      <c r="W87">
        <v>12.08</v>
      </c>
      <c r="X87">
        <v>64</v>
      </c>
      <c r="Y87">
        <f t="shared" si="19"/>
        <v>773.12</v>
      </c>
      <c r="AA87" s="51">
        <f t="shared" si="14"/>
        <v>4467.2</v>
      </c>
      <c r="AB87">
        <v>22924.875</v>
      </c>
    </row>
    <row r="88" spans="4:28" x14ac:dyDescent="0.25">
      <c r="D88" s="30">
        <v>45857</v>
      </c>
      <c r="E88">
        <v>9.41</v>
      </c>
      <c r="F88">
        <v>66</v>
      </c>
      <c r="G88">
        <f t="shared" si="15"/>
        <v>621.06000000000006</v>
      </c>
      <c r="I88">
        <v>9.41</v>
      </c>
      <c r="J88">
        <v>111</v>
      </c>
      <c r="K88">
        <f t="shared" si="16"/>
        <v>1044.51</v>
      </c>
      <c r="M88">
        <v>9.1999999999999993</v>
      </c>
      <c r="N88">
        <v>47</v>
      </c>
      <c r="O88">
        <f t="shared" si="17"/>
        <v>432.4</v>
      </c>
      <c r="Q88">
        <v>2.56</v>
      </c>
      <c r="R88">
        <v>70</v>
      </c>
      <c r="S88">
        <f t="shared" si="18"/>
        <v>179.20000000000002</v>
      </c>
      <c r="U88">
        <v>300</v>
      </c>
      <c r="W88">
        <v>9.3800000000000008</v>
      </c>
      <c r="X88">
        <v>64</v>
      </c>
      <c r="Y88">
        <f t="shared" si="19"/>
        <v>600.32000000000005</v>
      </c>
      <c r="AA88" s="51">
        <f t="shared" si="14"/>
        <v>3177.4900000000002</v>
      </c>
      <c r="AB88">
        <v>18823.75</v>
      </c>
    </row>
    <row r="89" spans="4:28" x14ac:dyDescent="0.25">
      <c r="D89" s="30">
        <v>45858</v>
      </c>
      <c r="F89">
        <v>66</v>
      </c>
      <c r="G89">
        <f t="shared" si="15"/>
        <v>0</v>
      </c>
      <c r="J89">
        <v>111</v>
      </c>
      <c r="K89">
        <f t="shared" si="16"/>
        <v>0</v>
      </c>
      <c r="M89">
        <v>0</v>
      </c>
      <c r="N89">
        <v>47</v>
      </c>
      <c r="O89">
        <f t="shared" si="17"/>
        <v>0</v>
      </c>
      <c r="Q89">
        <v>0</v>
      </c>
      <c r="R89">
        <v>70</v>
      </c>
      <c r="S89">
        <f t="shared" si="18"/>
        <v>0</v>
      </c>
      <c r="U89">
        <v>0</v>
      </c>
      <c r="W89">
        <v>0</v>
      </c>
      <c r="X89">
        <v>64</v>
      </c>
      <c r="Y89">
        <f t="shared" si="19"/>
        <v>0</v>
      </c>
      <c r="AA89" s="51">
        <f t="shared" si="14"/>
        <v>0</v>
      </c>
      <c r="AB89">
        <v>0</v>
      </c>
    </row>
    <row r="90" spans="4:28" x14ac:dyDescent="0.25">
      <c r="D90" s="30">
        <v>45859</v>
      </c>
      <c r="E90">
        <v>12.05</v>
      </c>
      <c r="F90">
        <v>66</v>
      </c>
      <c r="G90">
        <f t="shared" si="15"/>
        <v>795.30000000000007</v>
      </c>
      <c r="I90">
        <v>11.27</v>
      </c>
      <c r="J90">
        <v>111</v>
      </c>
      <c r="K90">
        <f t="shared" si="16"/>
        <v>1250.97</v>
      </c>
      <c r="M90">
        <v>12.2</v>
      </c>
      <c r="N90">
        <v>47</v>
      </c>
      <c r="O90">
        <f t="shared" si="17"/>
        <v>573.4</v>
      </c>
      <c r="Q90">
        <v>0</v>
      </c>
      <c r="R90">
        <v>70</v>
      </c>
      <c r="S90">
        <f t="shared" si="18"/>
        <v>0</v>
      </c>
      <c r="U90">
        <v>413</v>
      </c>
      <c r="W90">
        <v>12.22</v>
      </c>
      <c r="X90">
        <v>64</v>
      </c>
      <c r="Y90">
        <f t="shared" si="19"/>
        <v>782.08</v>
      </c>
      <c r="AA90" s="51">
        <f t="shared" si="14"/>
        <v>3814.75</v>
      </c>
      <c r="AB90">
        <v>21283.5</v>
      </c>
    </row>
    <row r="91" spans="4:28" x14ac:dyDescent="0.25">
      <c r="D91" s="30">
        <v>45860</v>
      </c>
      <c r="E91">
        <v>11.53</v>
      </c>
      <c r="F91">
        <v>66</v>
      </c>
      <c r="G91">
        <f t="shared" si="15"/>
        <v>760.9799999999999</v>
      </c>
      <c r="I91">
        <v>11.2</v>
      </c>
      <c r="J91">
        <v>111</v>
      </c>
      <c r="K91">
        <f t="shared" si="16"/>
        <v>1243.1999999999998</v>
      </c>
      <c r="M91">
        <v>12.1</v>
      </c>
      <c r="N91">
        <v>47</v>
      </c>
      <c r="O91">
        <f t="shared" si="17"/>
        <v>568.69999999999993</v>
      </c>
      <c r="Q91">
        <v>0</v>
      </c>
      <c r="R91">
        <v>70</v>
      </c>
      <c r="S91">
        <f t="shared" si="18"/>
        <v>0</v>
      </c>
      <c r="U91">
        <v>300</v>
      </c>
      <c r="W91">
        <v>12.15</v>
      </c>
      <c r="X91">
        <v>64</v>
      </c>
      <c r="Y91">
        <f t="shared" si="19"/>
        <v>777.6</v>
      </c>
      <c r="AA91" s="51">
        <f t="shared" si="14"/>
        <v>3650.4799999999996</v>
      </c>
      <c r="AB91">
        <v>21203</v>
      </c>
    </row>
    <row r="92" spans="4:28" x14ac:dyDescent="0.25">
      <c r="D92" s="30">
        <v>45861</v>
      </c>
      <c r="E92">
        <v>12</v>
      </c>
      <c r="F92">
        <v>66</v>
      </c>
      <c r="G92">
        <f t="shared" si="15"/>
        <v>792</v>
      </c>
      <c r="I92">
        <v>12</v>
      </c>
      <c r="J92">
        <v>111</v>
      </c>
      <c r="K92">
        <f t="shared" si="16"/>
        <v>1332</v>
      </c>
      <c r="M92">
        <v>12.23</v>
      </c>
      <c r="N92">
        <v>47</v>
      </c>
      <c r="O92">
        <f t="shared" si="17"/>
        <v>574.81000000000006</v>
      </c>
      <c r="Q92">
        <v>0</v>
      </c>
      <c r="R92">
        <v>70</v>
      </c>
      <c r="S92">
        <f t="shared" si="18"/>
        <v>0</v>
      </c>
      <c r="U92">
        <v>413</v>
      </c>
      <c r="W92">
        <v>12.12</v>
      </c>
      <c r="X92">
        <v>64</v>
      </c>
      <c r="Y92">
        <f t="shared" si="19"/>
        <v>775.68</v>
      </c>
      <c r="AA92" s="51">
        <f t="shared" si="14"/>
        <v>3887.49</v>
      </c>
      <c r="AB92">
        <v>20952</v>
      </c>
    </row>
    <row r="93" spans="4:28" x14ac:dyDescent="0.25">
      <c r="D93" s="30">
        <v>45862</v>
      </c>
      <c r="E93">
        <v>12.06</v>
      </c>
      <c r="F93">
        <v>66</v>
      </c>
      <c r="G93">
        <f t="shared" si="15"/>
        <v>795.96</v>
      </c>
      <c r="I93">
        <v>12.05</v>
      </c>
      <c r="J93">
        <v>111</v>
      </c>
      <c r="K93">
        <f t="shared" si="16"/>
        <v>1337.5500000000002</v>
      </c>
      <c r="M93">
        <v>12.14</v>
      </c>
      <c r="N93">
        <v>47</v>
      </c>
      <c r="O93">
        <f t="shared" si="17"/>
        <v>570.58000000000004</v>
      </c>
      <c r="Q93">
        <v>0</v>
      </c>
      <c r="R93">
        <v>70</v>
      </c>
      <c r="S93">
        <f t="shared" si="18"/>
        <v>0</v>
      </c>
      <c r="U93">
        <v>300</v>
      </c>
      <c r="W93">
        <v>12.18</v>
      </c>
      <c r="X93">
        <v>64</v>
      </c>
      <c r="Y93">
        <f t="shared" si="19"/>
        <v>779.52</v>
      </c>
      <c r="AA93" s="51">
        <f t="shared" si="14"/>
        <v>3783.61</v>
      </c>
      <c r="AB93">
        <v>20215</v>
      </c>
    </row>
    <row r="94" spans="4:28" x14ac:dyDescent="0.25">
      <c r="D94" s="30">
        <v>45863</v>
      </c>
      <c r="E94">
        <v>12.04</v>
      </c>
      <c r="F94">
        <v>66</v>
      </c>
      <c r="G94">
        <f t="shared" si="15"/>
        <v>794.64</v>
      </c>
      <c r="I94">
        <v>12.02</v>
      </c>
      <c r="J94">
        <v>111</v>
      </c>
      <c r="K94">
        <f t="shared" si="16"/>
        <v>1334.22</v>
      </c>
      <c r="M94">
        <v>12.15</v>
      </c>
      <c r="N94">
        <v>47</v>
      </c>
      <c r="O94">
        <f t="shared" si="17"/>
        <v>571.05000000000007</v>
      </c>
      <c r="Q94">
        <v>0</v>
      </c>
      <c r="R94">
        <v>70</v>
      </c>
      <c r="S94">
        <f t="shared" si="18"/>
        <v>0</v>
      </c>
      <c r="U94">
        <v>413</v>
      </c>
      <c r="W94">
        <v>12.16</v>
      </c>
      <c r="X94">
        <v>64</v>
      </c>
      <c r="Y94">
        <f t="shared" si="19"/>
        <v>778.24</v>
      </c>
      <c r="AA94" s="51">
        <f t="shared" si="14"/>
        <v>3891.1500000000005</v>
      </c>
      <c r="AB94">
        <v>20752</v>
      </c>
    </row>
    <row r="95" spans="4:28" x14ac:dyDescent="0.25">
      <c r="D95" s="30">
        <v>45864</v>
      </c>
      <c r="E95">
        <v>11.54</v>
      </c>
      <c r="F95">
        <v>66</v>
      </c>
      <c r="G95">
        <f t="shared" si="15"/>
        <v>761.64</v>
      </c>
      <c r="I95">
        <v>11.51</v>
      </c>
      <c r="J95">
        <v>111</v>
      </c>
      <c r="K95">
        <f t="shared" si="16"/>
        <v>1277.6099999999999</v>
      </c>
      <c r="M95">
        <v>12.14</v>
      </c>
      <c r="N95">
        <v>47</v>
      </c>
      <c r="O95">
        <f t="shared" si="17"/>
        <v>570.58000000000004</v>
      </c>
      <c r="Q95">
        <v>12</v>
      </c>
      <c r="R95">
        <v>70</v>
      </c>
      <c r="S95">
        <f t="shared" si="18"/>
        <v>840</v>
      </c>
      <c r="U95">
        <v>413</v>
      </c>
      <c r="W95">
        <v>12.11</v>
      </c>
      <c r="X95">
        <v>64</v>
      </c>
      <c r="Y95">
        <f t="shared" si="19"/>
        <v>775.04</v>
      </c>
      <c r="AA95" s="51">
        <f t="shared" si="14"/>
        <v>4637.87</v>
      </c>
      <c r="AB95">
        <v>20851</v>
      </c>
    </row>
    <row r="96" spans="4:28" x14ac:dyDescent="0.25">
      <c r="D96" s="30">
        <v>45865</v>
      </c>
      <c r="E96">
        <v>9.3000000000000007</v>
      </c>
      <c r="F96">
        <v>66</v>
      </c>
      <c r="G96">
        <f t="shared" si="15"/>
        <v>613.80000000000007</v>
      </c>
      <c r="I96">
        <v>9.25</v>
      </c>
      <c r="J96">
        <v>111</v>
      </c>
      <c r="K96">
        <f t="shared" si="16"/>
        <v>1026.75</v>
      </c>
      <c r="M96">
        <v>12</v>
      </c>
      <c r="N96">
        <v>47</v>
      </c>
      <c r="O96">
        <f t="shared" si="17"/>
        <v>564</v>
      </c>
      <c r="Q96">
        <v>0</v>
      </c>
      <c r="R96">
        <v>70</v>
      </c>
      <c r="S96">
        <f t="shared" si="18"/>
        <v>0</v>
      </c>
      <c r="U96">
        <v>300</v>
      </c>
      <c r="W96">
        <v>12.1</v>
      </c>
      <c r="X96">
        <v>64</v>
      </c>
      <c r="Y96">
        <f t="shared" si="19"/>
        <v>774.4</v>
      </c>
      <c r="AA96" s="51">
        <f t="shared" si="14"/>
        <v>3278.9500000000003</v>
      </c>
      <c r="AB96">
        <v>16189.375</v>
      </c>
    </row>
    <row r="97" spans="2:37" x14ac:dyDescent="0.25">
      <c r="D97" s="30">
        <v>45866</v>
      </c>
      <c r="E97">
        <v>12</v>
      </c>
      <c r="F97">
        <v>66</v>
      </c>
      <c r="G97">
        <f t="shared" si="15"/>
        <v>792</v>
      </c>
      <c r="I97">
        <v>12</v>
      </c>
      <c r="J97">
        <v>111</v>
      </c>
      <c r="K97">
        <f t="shared" si="16"/>
        <v>1332</v>
      </c>
      <c r="M97">
        <v>12.17</v>
      </c>
      <c r="N97">
        <v>47</v>
      </c>
      <c r="O97">
        <f t="shared" si="17"/>
        <v>571.99</v>
      </c>
      <c r="Q97">
        <v>12.09</v>
      </c>
      <c r="R97">
        <v>70</v>
      </c>
      <c r="S97">
        <f t="shared" si="18"/>
        <v>846.3</v>
      </c>
      <c r="U97">
        <v>413</v>
      </c>
      <c r="W97">
        <v>12.17</v>
      </c>
      <c r="X97">
        <v>64</v>
      </c>
      <c r="Y97">
        <f t="shared" si="19"/>
        <v>778.88</v>
      </c>
      <c r="AA97" s="51">
        <f t="shared" si="14"/>
        <v>4734.17</v>
      </c>
      <c r="AB97">
        <v>22146.25</v>
      </c>
    </row>
    <row r="98" spans="2:37" x14ac:dyDescent="0.25">
      <c r="D98" s="30">
        <v>45867</v>
      </c>
      <c r="E98">
        <v>12.21</v>
      </c>
      <c r="F98">
        <v>66</v>
      </c>
      <c r="G98">
        <f t="shared" si="15"/>
        <v>805.86</v>
      </c>
      <c r="I98">
        <v>3.25</v>
      </c>
      <c r="J98">
        <v>111</v>
      </c>
      <c r="K98">
        <f t="shared" si="16"/>
        <v>360.75</v>
      </c>
      <c r="M98">
        <v>12.19</v>
      </c>
      <c r="N98">
        <v>47</v>
      </c>
      <c r="O98">
        <f t="shared" si="17"/>
        <v>572.92999999999995</v>
      </c>
      <c r="Q98">
        <v>12.18</v>
      </c>
      <c r="R98">
        <v>70</v>
      </c>
      <c r="S98">
        <f t="shared" si="18"/>
        <v>852.6</v>
      </c>
      <c r="U98">
        <v>0</v>
      </c>
      <c r="W98">
        <v>12.15</v>
      </c>
      <c r="X98">
        <v>64</v>
      </c>
      <c r="Y98">
        <f t="shared" si="19"/>
        <v>777.6</v>
      </c>
      <c r="AA98" s="51">
        <f t="shared" si="14"/>
        <v>3369.74</v>
      </c>
      <c r="AB98">
        <v>23655</v>
      </c>
    </row>
    <row r="99" spans="2:37" x14ac:dyDescent="0.25">
      <c r="D99" s="30">
        <v>45868</v>
      </c>
      <c r="E99">
        <v>11.13</v>
      </c>
      <c r="F99">
        <v>66</v>
      </c>
      <c r="G99">
        <f t="shared" si="15"/>
        <v>734.58</v>
      </c>
      <c r="I99">
        <v>11.09</v>
      </c>
      <c r="J99">
        <v>111</v>
      </c>
      <c r="K99">
        <f t="shared" si="16"/>
        <v>1230.99</v>
      </c>
      <c r="M99">
        <v>12.27</v>
      </c>
      <c r="N99">
        <v>47</v>
      </c>
      <c r="O99">
        <f t="shared" si="17"/>
        <v>576.68999999999994</v>
      </c>
      <c r="Q99">
        <v>12.16</v>
      </c>
      <c r="R99">
        <v>70</v>
      </c>
      <c r="S99">
        <f t="shared" si="18"/>
        <v>851.2</v>
      </c>
      <c r="U99">
        <v>413</v>
      </c>
      <c r="W99">
        <v>12.24</v>
      </c>
      <c r="X99">
        <v>64</v>
      </c>
      <c r="Y99">
        <f t="shared" si="19"/>
        <v>783.36</v>
      </c>
      <c r="AA99" s="51">
        <f t="shared" si="14"/>
        <v>4589.82</v>
      </c>
      <c r="AB99">
        <v>20230</v>
      </c>
    </row>
    <row r="100" spans="2:37" x14ac:dyDescent="0.25">
      <c r="D100" s="30">
        <v>45869</v>
      </c>
      <c r="E100">
        <v>9.2799999999999994</v>
      </c>
      <c r="F100">
        <v>66</v>
      </c>
      <c r="G100">
        <f t="shared" si="15"/>
        <v>612.4799999999999</v>
      </c>
      <c r="I100">
        <v>9.23</v>
      </c>
      <c r="J100">
        <v>111</v>
      </c>
      <c r="K100">
        <f t="shared" si="16"/>
        <v>1024.53</v>
      </c>
      <c r="M100">
        <v>9.44</v>
      </c>
      <c r="N100">
        <v>47</v>
      </c>
      <c r="O100">
        <f t="shared" si="17"/>
        <v>443.67999999999995</v>
      </c>
      <c r="Q100">
        <v>9.3699999999999992</v>
      </c>
      <c r="R100">
        <v>70</v>
      </c>
      <c r="S100">
        <f t="shared" si="18"/>
        <v>655.9</v>
      </c>
      <c r="U100">
        <v>300</v>
      </c>
      <c r="W100">
        <v>9.4499999999999993</v>
      </c>
      <c r="X100">
        <v>64</v>
      </c>
      <c r="Y100">
        <f t="shared" si="19"/>
        <v>604.79999999999995</v>
      </c>
      <c r="AA100" s="51">
        <f t="shared" si="14"/>
        <v>3641.3899999999994</v>
      </c>
      <c r="AB100">
        <v>18656.25</v>
      </c>
    </row>
    <row r="101" spans="2:37" x14ac:dyDescent="0.25">
      <c r="G101">
        <f>SUM(G70:G100)</f>
        <v>18342.059999999998</v>
      </c>
      <c r="K101">
        <f>SUM(K70:K100)</f>
        <v>33348.840000000004</v>
      </c>
      <c r="O101">
        <f>SUM(O70:O100)</f>
        <v>11871.26</v>
      </c>
      <c r="S101">
        <f>SUM(S70:S100)</f>
        <v>16685.900000000001</v>
      </c>
      <c r="U101" t="s">
        <v>5</v>
      </c>
      <c r="W101"/>
      <c r="X101" t="s">
        <v>5</v>
      </c>
      <c r="Y101">
        <f>SUM(Y70:Y100)</f>
        <v>19260.799999999996</v>
      </c>
      <c r="AA101" s="51">
        <f>SUM(AA70:AA100)</f>
        <v>109538.85999999997</v>
      </c>
      <c r="AB101">
        <f>SUM(AB70:AB100)</f>
        <v>571857.375</v>
      </c>
      <c r="AD101" s="11">
        <f>+AA101/AB101*100</f>
        <v>19.154926523418531</v>
      </c>
      <c r="AJ101" s="11">
        <f>+AA101/AB101*100</f>
        <v>19.154926523418531</v>
      </c>
      <c r="AK101" t="s">
        <v>5</v>
      </c>
    </row>
    <row r="103" spans="2:37" x14ac:dyDescent="0.25">
      <c r="B103" t="s">
        <v>5</v>
      </c>
      <c r="D103" t="s">
        <v>127</v>
      </c>
      <c r="E103" t="s">
        <v>121</v>
      </c>
      <c r="I103" t="s">
        <v>122</v>
      </c>
      <c r="M103" t="s">
        <v>123</v>
      </c>
      <c r="Q103" t="s">
        <v>124</v>
      </c>
      <c r="U103" t="s">
        <v>125</v>
      </c>
      <c r="W103" t="s">
        <v>126</v>
      </c>
      <c r="AA103" s="51" t="s">
        <v>8</v>
      </c>
      <c r="AB103" s="12" t="s">
        <v>128</v>
      </c>
    </row>
    <row r="104" spans="2:37" x14ac:dyDescent="0.25">
      <c r="D104" s="53">
        <v>45870</v>
      </c>
      <c r="E104">
        <v>12.01</v>
      </c>
      <c r="F104">
        <v>66</v>
      </c>
      <c r="G104">
        <f>+E104*F104</f>
        <v>792.66</v>
      </c>
      <c r="I104">
        <v>9.43</v>
      </c>
      <c r="J104">
        <v>111</v>
      </c>
      <c r="K104">
        <f t="shared" ref="K104:K134" si="20">+I104*J104</f>
        <v>1046.73</v>
      </c>
      <c r="M104">
        <v>12.3</v>
      </c>
      <c r="N104">
        <v>47</v>
      </c>
      <c r="O104">
        <f t="shared" ref="O104:O134" si="21">+M104*N104</f>
        <v>578.1</v>
      </c>
      <c r="Q104">
        <v>12.1</v>
      </c>
      <c r="R104">
        <v>70</v>
      </c>
      <c r="S104">
        <f>+R104*Q104</f>
        <v>847</v>
      </c>
      <c r="U104">
        <v>150</v>
      </c>
      <c r="W104" s="7">
        <v>12.14</v>
      </c>
      <c r="X104">
        <v>64</v>
      </c>
      <c r="Y104">
        <f>+W104*X104</f>
        <v>776.96</v>
      </c>
      <c r="AA104" s="51">
        <f t="shared" ref="AA104:AA134" si="22">+G104+K104+O104+S104+U104+Y104</f>
        <v>4191.45</v>
      </c>
      <c r="AB104">
        <v>24640</v>
      </c>
      <c r="AI104" t="s">
        <v>5</v>
      </c>
    </row>
    <row r="105" spans="2:37" x14ac:dyDescent="0.25">
      <c r="D105" s="53">
        <v>45871</v>
      </c>
      <c r="E105">
        <v>9.5</v>
      </c>
      <c r="F105">
        <v>66</v>
      </c>
      <c r="G105">
        <f t="shared" ref="G105:G134" si="23">+E105*F105</f>
        <v>627</v>
      </c>
      <c r="I105">
        <v>9.5</v>
      </c>
      <c r="J105">
        <v>111</v>
      </c>
      <c r="K105">
        <f t="shared" si="20"/>
        <v>1054.5</v>
      </c>
      <c r="M105">
        <v>10.06</v>
      </c>
      <c r="N105">
        <v>47</v>
      </c>
      <c r="O105">
        <f t="shared" si="21"/>
        <v>472.82000000000005</v>
      </c>
      <c r="Q105">
        <v>9.32</v>
      </c>
      <c r="R105">
        <v>70</v>
      </c>
      <c r="S105">
        <f t="shared" ref="S105:S134" si="24">+R105*Q105</f>
        <v>652.4</v>
      </c>
      <c r="U105">
        <v>300</v>
      </c>
      <c r="W105" s="7">
        <v>12.14</v>
      </c>
      <c r="X105">
        <v>64</v>
      </c>
      <c r="Y105">
        <f t="shared" ref="Y105:Y134" si="25">+W105*X105</f>
        <v>776.96</v>
      </c>
      <c r="AA105" s="51">
        <f t="shared" si="22"/>
        <v>3883.6800000000003</v>
      </c>
      <c r="AB105">
        <v>20507</v>
      </c>
    </row>
    <row r="106" spans="2:37" x14ac:dyDescent="0.25">
      <c r="D106" s="54">
        <v>45872</v>
      </c>
      <c r="E106">
        <v>0</v>
      </c>
      <c r="F106">
        <v>66</v>
      </c>
      <c r="G106">
        <f t="shared" si="23"/>
        <v>0</v>
      </c>
      <c r="I106">
        <v>0</v>
      </c>
      <c r="J106">
        <v>111</v>
      </c>
      <c r="K106">
        <f t="shared" si="20"/>
        <v>0</v>
      </c>
      <c r="M106">
        <v>0</v>
      </c>
      <c r="N106">
        <v>47</v>
      </c>
      <c r="O106">
        <f t="shared" si="21"/>
        <v>0</v>
      </c>
      <c r="Q106">
        <v>0</v>
      </c>
      <c r="R106">
        <v>70</v>
      </c>
      <c r="S106">
        <f t="shared" si="24"/>
        <v>0</v>
      </c>
      <c r="U106">
        <v>0</v>
      </c>
      <c r="W106" s="7">
        <v>0</v>
      </c>
      <c r="X106">
        <v>64</v>
      </c>
      <c r="Y106">
        <f t="shared" si="25"/>
        <v>0</v>
      </c>
      <c r="AA106" s="51">
        <f t="shared" si="22"/>
        <v>0</v>
      </c>
      <c r="AB106">
        <v>0</v>
      </c>
    </row>
    <row r="107" spans="2:37" x14ac:dyDescent="0.25">
      <c r="D107" s="53">
        <v>45873</v>
      </c>
      <c r="E107">
        <v>9.32</v>
      </c>
      <c r="F107">
        <v>66</v>
      </c>
      <c r="G107">
        <f t="shared" si="23"/>
        <v>615.12</v>
      </c>
      <c r="I107">
        <v>6.1</v>
      </c>
      <c r="J107">
        <v>111</v>
      </c>
      <c r="K107">
        <f t="shared" si="20"/>
        <v>677.09999999999991</v>
      </c>
      <c r="M107">
        <v>10.55</v>
      </c>
      <c r="N107">
        <v>47</v>
      </c>
      <c r="O107">
        <f t="shared" si="21"/>
        <v>495.85</v>
      </c>
      <c r="Q107">
        <v>10.41</v>
      </c>
      <c r="R107">
        <v>70</v>
      </c>
      <c r="S107">
        <f t="shared" si="24"/>
        <v>728.7</v>
      </c>
      <c r="U107">
        <v>300</v>
      </c>
      <c r="W107" s="7">
        <v>10.56</v>
      </c>
      <c r="X107">
        <v>64</v>
      </c>
      <c r="Y107">
        <f t="shared" si="25"/>
        <v>675.84</v>
      </c>
      <c r="AA107" s="51">
        <f t="shared" si="22"/>
        <v>3492.6099999999997</v>
      </c>
      <c r="AB107">
        <v>18660</v>
      </c>
    </row>
    <row r="108" spans="2:37" x14ac:dyDescent="0.25">
      <c r="D108" s="53">
        <v>45874</v>
      </c>
      <c r="E108">
        <v>0</v>
      </c>
      <c r="F108">
        <v>66</v>
      </c>
      <c r="G108">
        <f t="shared" si="23"/>
        <v>0</v>
      </c>
      <c r="I108">
        <v>9.2799999999999994</v>
      </c>
      <c r="J108">
        <v>111</v>
      </c>
      <c r="K108">
        <f t="shared" si="20"/>
        <v>1030.08</v>
      </c>
      <c r="M108">
        <v>11.1</v>
      </c>
      <c r="N108">
        <v>47</v>
      </c>
      <c r="O108">
        <f t="shared" si="21"/>
        <v>521.69999999999993</v>
      </c>
      <c r="Q108">
        <v>11.05</v>
      </c>
      <c r="R108">
        <v>70</v>
      </c>
      <c r="S108">
        <f t="shared" si="24"/>
        <v>773.5</v>
      </c>
      <c r="U108">
        <v>300</v>
      </c>
      <c r="W108" s="7">
        <v>11.18</v>
      </c>
      <c r="X108">
        <v>64</v>
      </c>
      <c r="Y108">
        <f t="shared" si="25"/>
        <v>715.52</v>
      </c>
      <c r="AA108" s="51">
        <f t="shared" si="22"/>
        <v>3340.7999999999997</v>
      </c>
      <c r="AB108">
        <v>22530</v>
      </c>
    </row>
    <row r="109" spans="2:37" x14ac:dyDescent="0.25">
      <c r="D109" s="53">
        <v>45875</v>
      </c>
      <c r="E109">
        <v>9.41</v>
      </c>
      <c r="F109">
        <v>66</v>
      </c>
      <c r="G109">
        <f t="shared" si="23"/>
        <v>621.06000000000006</v>
      </c>
      <c r="I109">
        <v>9.41</v>
      </c>
      <c r="J109">
        <v>111</v>
      </c>
      <c r="K109">
        <f t="shared" si="20"/>
        <v>1044.51</v>
      </c>
      <c r="M109">
        <v>12.13</v>
      </c>
      <c r="N109">
        <v>47</v>
      </c>
      <c r="O109">
        <f t="shared" si="21"/>
        <v>570.11</v>
      </c>
      <c r="Q109">
        <v>12.04</v>
      </c>
      <c r="R109">
        <v>70</v>
      </c>
      <c r="S109">
        <f t="shared" si="24"/>
        <v>842.8</v>
      </c>
      <c r="U109">
        <v>300</v>
      </c>
      <c r="W109" s="7">
        <v>12.16</v>
      </c>
      <c r="X109">
        <v>64</v>
      </c>
      <c r="Y109">
        <f t="shared" si="25"/>
        <v>778.24</v>
      </c>
      <c r="AA109" s="51">
        <f t="shared" si="22"/>
        <v>4156.72</v>
      </c>
      <c r="AB109">
        <v>23607.5</v>
      </c>
    </row>
    <row r="110" spans="2:37" x14ac:dyDescent="0.25">
      <c r="D110" s="53">
        <v>45876</v>
      </c>
      <c r="E110">
        <v>10.039999999999999</v>
      </c>
      <c r="F110">
        <v>66</v>
      </c>
      <c r="G110">
        <f t="shared" si="23"/>
        <v>662.64</v>
      </c>
      <c r="I110">
        <v>10.039999999999999</v>
      </c>
      <c r="J110">
        <v>111</v>
      </c>
      <c r="K110">
        <f t="shared" si="20"/>
        <v>1114.4399999999998</v>
      </c>
      <c r="M110">
        <v>12.18</v>
      </c>
      <c r="N110">
        <v>47</v>
      </c>
      <c r="O110">
        <f t="shared" si="21"/>
        <v>572.46</v>
      </c>
      <c r="Q110">
        <v>12.05</v>
      </c>
      <c r="R110">
        <v>70</v>
      </c>
      <c r="S110">
        <f t="shared" si="24"/>
        <v>843.5</v>
      </c>
      <c r="U110">
        <v>413</v>
      </c>
      <c r="W110" s="7">
        <v>12.19</v>
      </c>
      <c r="X110">
        <v>64</v>
      </c>
      <c r="Y110">
        <f t="shared" si="25"/>
        <v>780.16</v>
      </c>
      <c r="AA110" s="51">
        <f t="shared" si="22"/>
        <v>4386.2</v>
      </c>
      <c r="AB110">
        <v>22606.25</v>
      </c>
    </row>
    <row r="111" spans="2:37" x14ac:dyDescent="0.25">
      <c r="D111" s="53">
        <v>45877</v>
      </c>
      <c r="E111">
        <v>12.03</v>
      </c>
      <c r="F111">
        <v>66</v>
      </c>
      <c r="G111">
        <f t="shared" si="23"/>
        <v>793.9799999999999</v>
      </c>
      <c r="I111">
        <v>11.55</v>
      </c>
      <c r="J111">
        <v>111</v>
      </c>
      <c r="K111">
        <f t="shared" si="20"/>
        <v>1282.0500000000002</v>
      </c>
      <c r="M111">
        <v>12.19</v>
      </c>
      <c r="N111">
        <v>47</v>
      </c>
      <c r="O111">
        <f t="shared" si="21"/>
        <v>572.92999999999995</v>
      </c>
      <c r="Q111">
        <v>12.06</v>
      </c>
      <c r="R111">
        <v>70</v>
      </c>
      <c r="S111">
        <f t="shared" si="24"/>
        <v>844.2</v>
      </c>
      <c r="U111">
        <v>413</v>
      </c>
      <c r="W111" s="7">
        <v>12.16</v>
      </c>
      <c r="X111">
        <v>64</v>
      </c>
      <c r="Y111">
        <f t="shared" si="25"/>
        <v>778.24</v>
      </c>
      <c r="AA111" s="51">
        <f t="shared" si="22"/>
        <v>4684.3999999999996</v>
      </c>
      <c r="AB111">
        <v>23016.25</v>
      </c>
    </row>
    <row r="112" spans="2:37" x14ac:dyDescent="0.25">
      <c r="D112" s="55">
        <v>45878</v>
      </c>
      <c r="E112">
        <v>0</v>
      </c>
      <c r="F112">
        <v>66</v>
      </c>
      <c r="G112">
        <f t="shared" si="23"/>
        <v>0</v>
      </c>
      <c r="I112">
        <v>0</v>
      </c>
      <c r="J112">
        <v>111</v>
      </c>
      <c r="K112">
        <f t="shared" si="20"/>
        <v>0</v>
      </c>
      <c r="M112">
        <v>0</v>
      </c>
      <c r="N112">
        <v>47</v>
      </c>
      <c r="O112">
        <f t="shared" si="21"/>
        <v>0</v>
      </c>
      <c r="Q112">
        <v>0</v>
      </c>
      <c r="R112">
        <v>70</v>
      </c>
      <c r="S112">
        <f t="shared" si="24"/>
        <v>0</v>
      </c>
      <c r="U112">
        <v>0</v>
      </c>
      <c r="W112" s="7">
        <v>0</v>
      </c>
      <c r="X112">
        <v>64</v>
      </c>
      <c r="Y112">
        <f t="shared" si="25"/>
        <v>0</v>
      </c>
      <c r="AA112" s="51">
        <f t="shared" si="22"/>
        <v>0</v>
      </c>
      <c r="AB112">
        <v>0</v>
      </c>
    </row>
    <row r="113" spans="3:28" x14ac:dyDescent="0.25">
      <c r="D113" s="54">
        <v>45879</v>
      </c>
      <c r="E113">
        <v>0</v>
      </c>
      <c r="F113">
        <v>66</v>
      </c>
      <c r="G113">
        <f t="shared" si="23"/>
        <v>0</v>
      </c>
      <c r="I113">
        <v>0</v>
      </c>
      <c r="J113">
        <v>111</v>
      </c>
      <c r="K113">
        <f t="shared" si="20"/>
        <v>0</v>
      </c>
      <c r="M113">
        <v>0</v>
      </c>
      <c r="N113">
        <v>47</v>
      </c>
      <c r="O113">
        <f t="shared" si="21"/>
        <v>0</v>
      </c>
      <c r="Q113" s="52">
        <v>0</v>
      </c>
      <c r="R113">
        <v>0</v>
      </c>
      <c r="S113">
        <f t="shared" si="24"/>
        <v>0</v>
      </c>
      <c r="U113">
        <v>0</v>
      </c>
      <c r="W113" s="7">
        <v>0</v>
      </c>
      <c r="X113">
        <v>64</v>
      </c>
      <c r="Y113">
        <f t="shared" si="25"/>
        <v>0</v>
      </c>
      <c r="AA113" s="51">
        <f t="shared" si="22"/>
        <v>0</v>
      </c>
      <c r="AB113">
        <v>0</v>
      </c>
    </row>
    <row r="114" spans="3:28" x14ac:dyDescent="0.25">
      <c r="D114" s="53">
        <v>45880</v>
      </c>
      <c r="E114">
        <v>0</v>
      </c>
      <c r="F114">
        <v>66</v>
      </c>
      <c r="G114">
        <f t="shared" si="23"/>
        <v>0</v>
      </c>
      <c r="I114">
        <v>2.16</v>
      </c>
      <c r="J114">
        <v>111</v>
      </c>
      <c r="K114">
        <f t="shared" si="20"/>
        <v>239.76000000000002</v>
      </c>
      <c r="M114">
        <v>0</v>
      </c>
      <c r="N114">
        <v>47</v>
      </c>
      <c r="O114">
        <f t="shared" si="21"/>
        <v>0</v>
      </c>
      <c r="Q114">
        <v>9.32</v>
      </c>
      <c r="R114">
        <v>70</v>
      </c>
      <c r="S114">
        <f t="shared" si="24"/>
        <v>652.4</v>
      </c>
      <c r="U114">
        <v>300</v>
      </c>
      <c r="W114" s="7">
        <v>9.4700000000000006</v>
      </c>
      <c r="X114">
        <v>64</v>
      </c>
      <c r="Y114">
        <f t="shared" si="25"/>
        <v>606.08000000000004</v>
      </c>
      <c r="AA114" s="51">
        <f t="shared" si="22"/>
        <v>1798.2399999999998</v>
      </c>
      <c r="AB114">
        <v>16622.5</v>
      </c>
    </row>
    <row r="115" spans="3:28" x14ac:dyDescent="0.25">
      <c r="D115" s="53">
        <v>45881</v>
      </c>
      <c r="E115">
        <v>9.5500000000000007</v>
      </c>
      <c r="F115">
        <v>66</v>
      </c>
      <c r="G115">
        <f t="shared" si="23"/>
        <v>630.30000000000007</v>
      </c>
      <c r="I115">
        <v>9.5500000000000007</v>
      </c>
      <c r="J115">
        <v>111</v>
      </c>
      <c r="K115">
        <f t="shared" si="20"/>
        <v>1060.0500000000002</v>
      </c>
      <c r="M115">
        <v>12.17</v>
      </c>
      <c r="N115">
        <v>47</v>
      </c>
      <c r="O115">
        <f t="shared" si="21"/>
        <v>571.99</v>
      </c>
      <c r="Q115">
        <v>12.04</v>
      </c>
      <c r="R115">
        <v>70</v>
      </c>
      <c r="S115">
        <f t="shared" si="24"/>
        <v>842.8</v>
      </c>
      <c r="U115">
        <v>413</v>
      </c>
      <c r="W115" s="7">
        <v>12.15</v>
      </c>
      <c r="X115">
        <v>64</v>
      </c>
      <c r="Y115">
        <f t="shared" si="25"/>
        <v>777.6</v>
      </c>
      <c r="AA115" s="51">
        <f t="shared" si="22"/>
        <v>4295.7400000000007</v>
      </c>
      <c r="AB115">
        <v>24345</v>
      </c>
    </row>
    <row r="116" spans="3:28" x14ac:dyDescent="0.25">
      <c r="D116" s="53">
        <v>45882</v>
      </c>
      <c r="E116">
        <v>7.01</v>
      </c>
      <c r="F116">
        <v>66</v>
      </c>
      <c r="G116">
        <f t="shared" si="23"/>
        <v>462.65999999999997</v>
      </c>
      <c r="I116">
        <v>9</v>
      </c>
      <c r="J116">
        <v>111</v>
      </c>
      <c r="K116">
        <f t="shared" si="20"/>
        <v>999</v>
      </c>
      <c r="M116">
        <v>12.21</v>
      </c>
      <c r="N116">
        <v>47</v>
      </c>
      <c r="O116">
        <f t="shared" si="21"/>
        <v>573.87</v>
      </c>
      <c r="Q116">
        <v>12.04</v>
      </c>
      <c r="R116">
        <v>70</v>
      </c>
      <c r="S116">
        <f t="shared" si="24"/>
        <v>842.8</v>
      </c>
      <c r="U116">
        <v>300</v>
      </c>
      <c r="W116" s="7">
        <v>12.17</v>
      </c>
      <c r="X116">
        <v>64</v>
      </c>
      <c r="Y116">
        <f t="shared" si="25"/>
        <v>778.88</v>
      </c>
      <c r="AA116" s="51">
        <f t="shared" si="22"/>
        <v>3957.21</v>
      </c>
      <c r="AB116">
        <v>26184.17</v>
      </c>
    </row>
    <row r="117" spans="3:28" x14ac:dyDescent="0.25">
      <c r="D117" s="53">
        <v>45883</v>
      </c>
      <c r="E117">
        <v>9.5500000000000007</v>
      </c>
      <c r="F117">
        <v>66</v>
      </c>
      <c r="G117">
        <f t="shared" si="23"/>
        <v>630.30000000000007</v>
      </c>
      <c r="I117">
        <v>11.59</v>
      </c>
      <c r="J117">
        <v>111</v>
      </c>
      <c r="K117">
        <f t="shared" si="20"/>
        <v>1286.49</v>
      </c>
      <c r="M117">
        <v>12.1</v>
      </c>
      <c r="N117">
        <v>47</v>
      </c>
      <c r="O117">
        <f t="shared" si="21"/>
        <v>568.69999999999993</v>
      </c>
      <c r="Q117">
        <v>9.36</v>
      </c>
      <c r="R117">
        <v>70</v>
      </c>
      <c r="S117">
        <f t="shared" si="24"/>
        <v>655.19999999999993</v>
      </c>
      <c r="U117">
        <v>413</v>
      </c>
      <c r="W117" s="7">
        <v>12.13</v>
      </c>
      <c r="X117">
        <v>64</v>
      </c>
      <c r="Y117">
        <f t="shared" si="25"/>
        <v>776.32</v>
      </c>
      <c r="AA117" s="51">
        <f t="shared" si="22"/>
        <v>4330.0099999999993</v>
      </c>
      <c r="AB117">
        <v>26731.25</v>
      </c>
    </row>
    <row r="118" spans="3:28" x14ac:dyDescent="0.25">
      <c r="D118" s="56">
        <v>45884</v>
      </c>
      <c r="E118">
        <v>10</v>
      </c>
      <c r="F118">
        <v>66</v>
      </c>
      <c r="G118">
        <f t="shared" si="23"/>
        <v>660</v>
      </c>
      <c r="I118">
        <v>9.3000000000000007</v>
      </c>
      <c r="J118">
        <v>111</v>
      </c>
      <c r="K118">
        <f t="shared" si="20"/>
        <v>1032.3000000000002</v>
      </c>
      <c r="M118">
        <v>12.3</v>
      </c>
      <c r="N118">
        <v>47</v>
      </c>
      <c r="O118">
        <f t="shared" si="21"/>
        <v>578.1</v>
      </c>
      <c r="Q118">
        <v>0</v>
      </c>
      <c r="R118">
        <v>70</v>
      </c>
      <c r="S118">
        <f t="shared" si="24"/>
        <v>0</v>
      </c>
      <c r="U118">
        <v>300</v>
      </c>
      <c r="W118" s="7">
        <v>12.3</v>
      </c>
      <c r="X118">
        <v>64</v>
      </c>
      <c r="Y118">
        <f t="shared" si="25"/>
        <v>787.2</v>
      </c>
      <c r="AA118" s="51">
        <f t="shared" si="22"/>
        <v>3357.6000000000004</v>
      </c>
      <c r="AB118">
        <v>20656</v>
      </c>
    </row>
    <row r="119" spans="3:28" x14ac:dyDescent="0.25">
      <c r="D119" s="56">
        <v>45885</v>
      </c>
      <c r="E119">
        <v>9.31</v>
      </c>
      <c r="F119">
        <v>66</v>
      </c>
      <c r="G119">
        <f t="shared" si="23"/>
        <v>614.46</v>
      </c>
      <c r="I119">
        <v>10.57</v>
      </c>
      <c r="J119">
        <v>111</v>
      </c>
      <c r="K119">
        <f t="shared" si="20"/>
        <v>1173.27</v>
      </c>
      <c r="M119">
        <v>12.08</v>
      </c>
      <c r="N119">
        <v>47</v>
      </c>
      <c r="O119">
        <f t="shared" si="21"/>
        <v>567.76</v>
      </c>
      <c r="Q119">
        <v>9.33</v>
      </c>
      <c r="R119">
        <v>70</v>
      </c>
      <c r="S119">
        <f t="shared" si="24"/>
        <v>653.1</v>
      </c>
      <c r="U119">
        <v>300</v>
      </c>
      <c r="W119" s="7">
        <v>12.14</v>
      </c>
      <c r="X119">
        <v>64</v>
      </c>
      <c r="Y119">
        <f t="shared" si="25"/>
        <v>776.96</v>
      </c>
      <c r="AA119" s="51">
        <f t="shared" si="22"/>
        <v>4085.5499999999997</v>
      </c>
      <c r="AB119">
        <v>21450</v>
      </c>
    </row>
    <row r="120" spans="3:28" x14ac:dyDescent="0.25">
      <c r="D120" s="54">
        <v>45886</v>
      </c>
      <c r="E120">
        <v>0</v>
      </c>
      <c r="F120">
        <v>66</v>
      </c>
      <c r="G120">
        <f t="shared" si="23"/>
        <v>0</v>
      </c>
      <c r="I120">
        <v>0</v>
      </c>
      <c r="J120">
        <v>111</v>
      </c>
      <c r="K120">
        <f t="shared" si="20"/>
        <v>0</v>
      </c>
      <c r="M120">
        <v>0</v>
      </c>
      <c r="N120">
        <v>47</v>
      </c>
      <c r="O120">
        <f t="shared" si="21"/>
        <v>0</v>
      </c>
      <c r="Q120">
        <v>0</v>
      </c>
      <c r="R120">
        <v>70</v>
      </c>
      <c r="S120">
        <f t="shared" si="24"/>
        <v>0</v>
      </c>
      <c r="U120">
        <v>0</v>
      </c>
      <c r="W120" s="7">
        <v>0</v>
      </c>
      <c r="X120">
        <v>64</v>
      </c>
      <c r="Y120">
        <f t="shared" si="25"/>
        <v>0</v>
      </c>
      <c r="AA120" s="51">
        <f t="shared" si="22"/>
        <v>0</v>
      </c>
      <c r="AB120">
        <v>0</v>
      </c>
    </row>
    <row r="121" spans="3:28" x14ac:dyDescent="0.25">
      <c r="D121" s="53">
        <v>45887</v>
      </c>
      <c r="E121">
        <v>7.5</v>
      </c>
      <c r="F121">
        <v>66</v>
      </c>
      <c r="G121">
        <f t="shared" si="23"/>
        <v>495</v>
      </c>
      <c r="I121">
        <v>8.2799999999999994</v>
      </c>
      <c r="J121">
        <v>111</v>
      </c>
      <c r="K121">
        <f t="shared" si="20"/>
        <v>919.07999999999993</v>
      </c>
      <c r="M121">
        <v>12.22</v>
      </c>
      <c r="N121">
        <v>47</v>
      </c>
      <c r="O121">
        <f t="shared" si="21"/>
        <v>574.34</v>
      </c>
      <c r="Q121">
        <v>12.07</v>
      </c>
      <c r="R121">
        <v>70</v>
      </c>
      <c r="S121">
        <f t="shared" si="24"/>
        <v>844.9</v>
      </c>
      <c r="U121">
        <v>413</v>
      </c>
      <c r="W121" s="7">
        <v>12.16</v>
      </c>
      <c r="X121">
        <v>64</v>
      </c>
      <c r="Y121">
        <f t="shared" si="25"/>
        <v>778.24</v>
      </c>
      <c r="AA121" s="51">
        <f t="shared" si="22"/>
        <v>4024.5600000000004</v>
      </c>
      <c r="AB121">
        <v>25291.56</v>
      </c>
    </row>
    <row r="122" spans="3:28" x14ac:dyDescent="0.25">
      <c r="D122" s="53">
        <v>45888</v>
      </c>
      <c r="E122">
        <v>12.07</v>
      </c>
      <c r="F122">
        <v>66</v>
      </c>
      <c r="G122">
        <f t="shared" si="23"/>
        <v>796.62</v>
      </c>
      <c r="I122">
        <v>12.07</v>
      </c>
      <c r="J122">
        <v>111</v>
      </c>
      <c r="K122">
        <f t="shared" si="20"/>
        <v>1339.77</v>
      </c>
      <c r="M122">
        <v>12.19</v>
      </c>
      <c r="N122">
        <v>47</v>
      </c>
      <c r="O122">
        <f t="shared" si="21"/>
        <v>572.92999999999995</v>
      </c>
      <c r="Q122">
        <v>12.1</v>
      </c>
      <c r="R122">
        <v>70</v>
      </c>
      <c r="S122">
        <f t="shared" si="24"/>
        <v>847</v>
      </c>
      <c r="U122">
        <v>300</v>
      </c>
      <c r="W122" s="7">
        <v>12.21</v>
      </c>
      <c r="X122">
        <v>64</v>
      </c>
      <c r="Y122">
        <f t="shared" si="25"/>
        <v>781.44</v>
      </c>
      <c r="AA122" s="51">
        <f t="shared" si="22"/>
        <v>4637.76</v>
      </c>
      <c r="AB122">
        <v>26357.5</v>
      </c>
    </row>
    <row r="123" spans="3:28" x14ac:dyDescent="0.25">
      <c r="D123" s="53">
        <v>45889</v>
      </c>
      <c r="E123">
        <v>12.11</v>
      </c>
      <c r="F123">
        <v>66</v>
      </c>
      <c r="G123">
        <f t="shared" si="23"/>
        <v>799.26</v>
      </c>
      <c r="I123">
        <v>12.13</v>
      </c>
      <c r="J123">
        <v>111</v>
      </c>
      <c r="K123">
        <f t="shared" si="20"/>
        <v>1346.43</v>
      </c>
      <c r="M123">
        <v>12.24</v>
      </c>
      <c r="N123">
        <v>47</v>
      </c>
      <c r="O123">
        <f t="shared" si="21"/>
        <v>575.28</v>
      </c>
      <c r="Q123">
        <v>12.06</v>
      </c>
      <c r="R123">
        <v>70</v>
      </c>
      <c r="S123">
        <f t="shared" si="24"/>
        <v>844.2</v>
      </c>
      <c r="U123">
        <v>0</v>
      </c>
      <c r="W123" s="7">
        <v>12.1</v>
      </c>
      <c r="X123">
        <v>64</v>
      </c>
      <c r="Y123">
        <f t="shared" si="25"/>
        <v>774.4</v>
      </c>
      <c r="AA123" s="51">
        <f t="shared" si="22"/>
        <v>4339.57</v>
      </c>
      <c r="AB123">
        <v>24320.63</v>
      </c>
    </row>
    <row r="124" spans="3:28" x14ac:dyDescent="0.25">
      <c r="D124" s="53">
        <v>45890</v>
      </c>
      <c r="E124">
        <v>9.58</v>
      </c>
      <c r="F124">
        <v>66</v>
      </c>
      <c r="G124">
        <f t="shared" si="23"/>
        <v>632.28</v>
      </c>
      <c r="I124">
        <v>9.39</v>
      </c>
      <c r="J124">
        <v>111</v>
      </c>
      <c r="K124">
        <f t="shared" si="20"/>
        <v>1042.29</v>
      </c>
      <c r="M124">
        <v>9.43</v>
      </c>
      <c r="N124">
        <v>47</v>
      </c>
      <c r="O124">
        <f t="shared" si="21"/>
        <v>443.21</v>
      </c>
      <c r="Q124">
        <v>9.3800000000000008</v>
      </c>
      <c r="R124">
        <v>70</v>
      </c>
      <c r="S124">
        <f t="shared" si="24"/>
        <v>656.6</v>
      </c>
      <c r="U124">
        <v>0</v>
      </c>
      <c r="W124" s="7">
        <v>9.51</v>
      </c>
      <c r="X124">
        <v>64</v>
      </c>
      <c r="Y124">
        <f t="shared" si="25"/>
        <v>608.64</v>
      </c>
      <c r="AA124" s="51">
        <f t="shared" si="22"/>
        <v>3383.0199999999995</v>
      </c>
      <c r="AB124">
        <v>19860</v>
      </c>
    </row>
    <row r="125" spans="3:28" x14ac:dyDescent="0.25">
      <c r="D125" s="53">
        <v>45891</v>
      </c>
      <c r="E125">
        <v>0</v>
      </c>
      <c r="F125">
        <v>66</v>
      </c>
      <c r="G125">
        <f t="shared" si="23"/>
        <v>0</v>
      </c>
      <c r="I125">
        <v>9.24</v>
      </c>
      <c r="J125">
        <v>111</v>
      </c>
      <c r="K125">
        <f t="shared" si="20"/>
        <v>1025.6400000000001</v>
      </c>
      <c r="M125">
        <v>9.4499999999999993</v>
      </c>
      <c r="N125">
        <v>47</v>
      </c>
      <c r="O125">
        <f t="shared" si="21"/>
        <v>444.15</v>
      </c>
      <c r="Q125">
        <v>9.35</v>
      </c>
      <c r="R125">
        <v>70</v>
      </c>
      <c r="S125">
        <f t="shared" si="24"/>
        <v>654.5</v>
      </c>
      <c r="U125">
        <v>300</v>
      </c>
      <c r="W125" s="7">
        <v>9.44</v>
      </c>
      <c r="X125">
        <v>64</v>
      </c>
      <c r="Y125">
        <f t="shared" si="25"/>
        <v>604.16</v>
      </c>
      <c r="AA125" s="51">
        <f t="shared" si="22"/>
        <v>3028.45</v>
      </c>
      <c r="AB125">
        <v>20840</v>
      </c>
    </row>
    <row r="126" spans="3:28" x14ac:dyDescent="0.25">
      <c r="D126" s="53">
        <v>45892</v>
      </c>
      <c r="E126">
        <v>9.31</v>
      </c>
      <c r="F126">
        <v>66</v>
      </c>
      <c r="G126">
        <f t="shared" si="23"/>
        <v>614.46</v>
      </c>
      <c r="I126">
        <v>9.31</v>
      </c>
      <c r="J126">
        <v>111</v>
      </c>
      <c r="K126">
        <f t="shared" si="20"/>
        <v>1033.4100000000001</v>
      </c>
      <c r="M126">
        <v>9.5299999999999994</v>
      </c>
      <c r="N126">
        <v>47</v>
      </c>
      <c r="O126">
        <f t="shared" si="21"/>
        <v>447.90999999999997</v>
      </c>
      <c r="Q126">
        <v>9.34</v>
      </c>
      <c r="R126">
        <v>70</v>
      </c>
      <c r="S126">
        <f t="shared" si="24"/>
        <v>653.79999999999995</v>
      </c>
      <c r="U126">
        <v>300</v>
      </c>
      <c r="W126" s="7">
        <v>9.48</v>
      </c>
      <c r="X126">
        <v>64</v>
      </c>
      <c r="Y126">
        <f t="shared" si="25"/>
        <v>606.72</v>
      </c>
      <c r="AA126" s="51">
        <f t="shared" si="22"/>
        <v>3656.3</v>
      </c>
      <c r="AB126">
        <v>19889.38</v>
      </c>
    </row>
    <row r="127" spans="3:28" x14ac:dyDescent="0.25">
      <c r="C127" t="s">
        <v>5</v>
      </c>
      <c r="D127" s="54">
        <v>45893</v>
      </c>
      <c r="E127">
        <v>9.3000000000000007</v>
      </c>
      <c r="F127">
        <v>66</v>
      </c>
      <c r="G127">
        <f t="shared" si="23"/>
        <v>613.80000000000007</v>
      </c>
      <c r="I127">
        <v>9.11</v>
      </c>
      <c r="J127">
        <v>111</v>
      </c>
      <c r="K127">
        <f t="shared" si="20"/>
        <v>1011.2099999999999</v>
      </c>
      <c r="M127">
        <v>9.2200000000000006</v>
      </c>
      <c r="N127">
        <v>47</v>
      </c>
      <c r="O127">
        <f t="shared" si="21"/>
        <v>433.34000000000003</v>
      </c>
      <c r="Q127">
        <v>9.2899999999999991</v>
      </c>
      <c r="R127">
        <v>70</v>
      </c>
      <c r="S127">
        <f t="shared" si="24"/>
        <v>650.29999999999995</v>
      </c>
      <c r="U127">
        <v>0</v>
      </c>
      <c r="W127" s="7">
        <v>12.06</v>
      </c>
      <c r="X127">
        <v>64</v>
      </c>
      <c r="Y127">
        <f t="shared" si="25"/>
        <v>771.84</v>
      </c>
      <c r="AA127" s="51">
        <f t="shared" si="22"/>
        <v>3480.49</v>
      </c>
      <c r="AB127">
        <v>15682.42</v>
      </c>
    </row>
    <row r="128" spans="3:28" x14ac:dyDescent="0.25">
      <c r="D128" s="53">
        <v>45894</v>
      </c>
      <c r="E128">
        <v>11.58</v>
      </c>
      <c r="F128">
        <v>66</v>
      </c>
      <c r="G128">
        <f t="shared" si="23"/>
        <v>764.28</v>
      </c>
      <c r="I128">
        <v>11.58</v>
      </c>
      <c r="J128">
        <v>111</v>
      </c>
      <c r="K128">
        <f t="shared" si="20"/>
        <v>1285.3800000000001</v>
      </c>
      <c r="M128">
        <v>12.23</v>
      </c>
      <c r="N128">
        <v>47</v>
      </c>
      <c r="O128">
        <f t="shared" si="21"/>
        <v>574.81000000000006</v>
      </c>
      <c r="Q128">
        <v>12.06</v>
      </c>
      <c r="R128">
        <v>70</v>
      </c>
      <c r="S128">
        <f t="shared" si="24"/>
        <v>844.2</v>
      </c>
      <c r="U128">
        <v>300</v>
      </c>
      <c r="W128" s="7">
        <v>12.18</v>
      </c>
      <c r="X128">
        <v>64</v>
      </c>
      <c r="Y128">
        <f t="shared" si="25"/>
        <v>779.52</v>
      </c>
      <c r="AA128" s="51">
        <f t="shared" si="22"/>
        <v>4548.1900000000005</v>
      </c>
      <c r="AB128">
        <v>27073.75</v>
      </c>
    </row>
    <row r="129" spans="2:36" x14ac:dyDescent="0.25">
      <c r="D129" s="53">
        <v>45895</v>
      </c>
      <c r="E129">
        <v>11.55</v>
      </c>
      <c r="F129">
        <v>66</v>
      </c>
      <c r="G129">
        <f t="shared" si="23"/>
        <v>762.30000000000007</v>
      </c>
      <c r="I129">
        <v>11.56</v>
      </c>
      <c r="J129">
        <v>111</v>
      </c>
      <c r="K129">
        <f t="shared" si="20"/>
        <v>1283.1600000000001</v>
      </c>
      <c r="M129">
        <v>12.23</v>
      </c>
      <c r="N129">
        <v>47</v>
      </c>
      <c r="O129">
        <f t="shared" si="21"/>
        <v>574.81000000000006</v>
      </c>
      <c r="Q129">
        <v>9.33</v>
      </c>
      <c r="R129">
        <v>70</v>
      </c>
      <c r="S129">
        <f t="shared" si="24"/>
        <v>653.1</v>
      </c>
      <c r="U129">
        <v>300</v>
      </c>
      <c r="W129" s="7">
        <v>12.17</v>
      </c>
      <c r="X129">
        <v>64</v>
      </c>
      <c r="Y129">
        <f t="shared" si="25"/>
        <v>778.88</v>
      </c>
      <c r="AA129" s="51">
        <f t="shared" si="22"/>
        <v>4352.25</v>
      </c>
      <c r="AB129">
        <v>25658.75</v>
      </c>
    </row>
    <row r="130" spans="2:36" x14ac:dyDescent="0.25">
      <c r="D130" s="53">
        <v>45896</v>
      </c>
      <c r="E130">
        <v>12.14</v>
      </c>
      <c r="F130">
        <v>66</v>
      </c>
      <c r="G130">
        <f t="shared" si="23"/>
        <v>801.24</v>
      </c>
      <c r="I130">
        <v>12.12</v>
      </c>
      <c r="J130">
        <v>111</v>
      </c>
      <c r="K130">
        <f t="shared" si="20"/>
        <v>1345.32</v>
      </c>
      <c r="M130">
        <v>12.22</v>
      </c>
      <c r="N130">
        <v>47</v>
      </c>
      <c r="O130">
        <f t="shared" si="21"/>
        <v>574.34</v>
      </c>
      <c r="Q130">
        <v>9.3000000000000007</v>
      </c>
      <c r="R130">
        <v>70</v>
      </c>
      <c r="S130">
        <f t="shared" si="24"/>
        <v>651</v>
      </c>
      <c r="U130">
        <v>300</v>
      </c>
      <c r="W130" s="7">
        <v>12.13</v>
      </c>
      <c r="X130">
        <v>64</v>
      </c>
      <c r="Y130">
        <f t="shared" si="25"/>
        <v>776.32</v>
      </c>
      <c r="AA130" s="51">
        <f t="shared" si="22"/>
        <v>4448.22</v>
      </c>
      <c r="AB130">
        <v>25224.38</v>
      </c>
    </row>
    <row r="131" spans="2:36" x14ac:dyDescent="0.25">
      <c r="D131" s="53">
        <v>45897</v>
      </c>
      <c r="E131">
        <v>12.05</v>
      </c>
      <c r="F131">
        <v>66</v>
      </c>
      <c r="G131">
        <f t="shared" si="23"/>
        <v>795.30000000000007</v>
      </c>
      <c r="I131">
        <v>12.05</v>
      </c>
      <c r="J131">
        <v>111</v>
      </c>
      <c r="K131">
        <f t="shared" si="20"/>
        <v>1337.5500000000002</v>
      </c>
      <c r="M131">
        <v>12.1</v>
      </c>
      <c r="N131">
        <v>47</v>
      </c>
      <c r="O131">
        <f t="shared" si="21"/>
        <v>568.69999999999993</v>
      </c>
      <c r="Q131">
        <v>12.17</v>
      </c>
      <c r="R131">
        <v>70</v>
      </c>
      <c r="S131">
        <f t="shared" si="24"/>
        <v>851.9</v>
      </c>
      <c r="U131">
        <v>300</v>
      </c>
      <c r="W131" s="7">
        <v>12.14</v>
      </c>
      <c r="X131">
        <v>64</v>
      </c>
      <c r="Y131">
        <f t="shared" si="25"/>
        <v>776.96</v>
      </c>
      <c r="AA131" s="51">
        <f t="shared" si="22"/>
        <v>4630.41</v>
      </c>
      <c r="AB131">
        <v>25756.86</v>
      </c>
    </row>
    <row r="132" spans="2:36" x14ac:dyDescent="0.25">
      <c r="D132" s="53">
        <v>45898</v>
      </c>
      <c r="E132">
        <v>12.04</v>
      </c>
      <c r="F132">
        <v>66</v>
      </c>
      <c r="G132">
        <f t="shared" si="23"/>
        <v>794.64</v>
      </c>
      <c r="I132">
        <v>12.05</v>
      </c>
      <c r="J132">
        <v>111</v>
      </c>
      <c r="K132">
        <f t="shared" si="20"/>
        <v>1337.5500000000002</v>
      </c>
      <c r="M132">
        <v>12.19</v>
      </c>
      <c r="N132">
        <v>47</v>
      </c>
      <c r="O132">
        <f t="shared" si="21"/>
        <v>572.92999999999995</v>
      </c>
      <c r="Q132">
        <v>12.18</v>
      </c>
      <c r="R132">
        <v>70</v>
      </c>
      <c r="S132">
        <f t="shared" si="24"/>
        <v>852.6</v>
      </c>
      <c r="U132">
        <v>300</v>
      </c>
      <c r="W132" s="7">
        <v>12.21</v>
      </c>
      <c r="X132">
        <v>64</v>
      </c>
      <c r="Y132">
        <f t="shared" si="25"/>
        <v>781.44</v>
      </c>
      <c r="AA132" s="51">
        <f t="shared" si="22"/>
        <v>4639.16</v>
      </c>
      <c r="AB132">
        <v>24982.5</v>
      </c>
    </row>
    <row r="133" spans="2:36" x14ac:dyDescent="0.25">
      <c r="D133" s="53">
        <v>45899</v>
      </c>
      <c r="E133">
        <v>9.41</v>
      </c>
      <c r="F133">
        <v>66</v>
      </c>
      <c r="G133">
        <f t="shared" si="23"/>
        <v>621.06000000000006</v>
      </c>
      <c r="I133">
        <v>9.41</v>
      </c>
      <c r="J133">
        <v>111</v>
      </c>
      <c r="K133">
        <f t="shared" si="20"/>
        <v>1044.51</v>
      </c>
      <c r="M133">
        <v>9.43</v>
      </c>
      <c r="N133">
        <v>47</v>
      </c>
      <c r="O133">
        <f t="shared" si="21"/>
        <v>443.21</v>
      </c>
      <c r="Q133">
        <v>9.35</v>
      </c>
      <c r="R133">
        <v>70</v>
      </c>
      <c r="S133">
        <f t="shared" si="24"/>
        <v>654.5</v>
      </c>
      <c r="U133">
        <v>0</v>
      </c>
      <c r="W133" s="7">
        <v>12.14</v>
      </c>
      <c r="X133">
        <v>64</v>
      </c>
      <c r="Y133">
        <f t="shared" si="25"/>
        <v>776.96</v>
      </c>
      <c r="AA133" s="51">
        <f t="shared" si="22"/>
        <v>3540.2400000000002</v>
      </c>
      <c r="AB133">
        <v>20771.919999999998</v>
      </c>
    </row>
    <row r="134" spans="2:36" x14ac:dyDescent="0.25">
      <c r="D134" s="54">
        <v>45900</v>
      </c>
      <c r="E134">
        <v>0</v>
      </c>
      <c r="F134">
        <v>66</v>
      </c>
      <c r="G134">
        <f t="shared" si="23"/>
        <v>0</v>
      </c>
      <c r="I134">
        <v>0</v>
      </c>
      <c r="J134">
        <v>111</v>
      </c>
      <c r="K134">
        <f t="shared" si="20"/>
        <v>0</v>
      </c>
      <c r="M134">
        <v>0</v>
      </c>
      <c r="N134">
        <v>47</v>
      </c>
      <c r="O134">
        <f t="shared" si="21"/>
        <v>0</v>
      </c>
      <c r="Q134">
        <v>0</v>
      </c>
      <c r="R134">
        <v>70</v>
      </c>
      <c r="S134">
        <f t="shared" si="24"/>
        <v>0</v>
      </c>
      <c r="U134">
        <v>0</v>
      </c>
      <c r="W134" s="12">
        <v>0</v>
      </c>
      <c r="X134">
        <v>64</v>
      </c>
      <c r="Y134">
        <f t="shared" si="25"/>
        <v>0</v>
      </c>
      <c r="AA134" s="51">
        <f t="shared" si="22"/>
        <v>0</v>
      </c>
      <c r="AB134">
        <v>0</v>
      </c>
    </row>
    <row r="135" spans="2:36" x14ac:dyDescent="0.25">
      <c r="AA135">
        <f>SUM(AA104:AA134)</f>
        <v>102668.83000000002</v>
      </c>
      <c r="AB135">
        <f>SUM(AB104:AB134)</f>
        <v>593265.57000000007</v>
      </c>
      <c r="AD135" s="11">
        <f>+AA135/AB135*100</f>
        <v>17.305711841663086</v>
      </c>
      <c r="AJ135" s="11">
        <f>+AA135/AB135*100</f>
        <v>17.305711841663086</v>
      </c>
    </row>
    <row r="137" spans="2:36" s="11" customFormat="1" x14ac:dyDescent="0.25">
      <c r="B137" s="11" t="s">
        <v>5</v>
      </c>
      <c r="D137" s="11" t="s">
        <v>129</v>
      </c>
      <c r="E137" s="11" t="s">
        <v>121</v>
      </c>
      <c r="I137" s="11" t="s">
        <v>122</v>
      </c>
      <c r="M137" s="11" t="s">
        <v>123</v>
      </c>
      <c r="Q137" s="11" t="s">
        <v>124</v>
      </c>
      <c r="U137" s="11" t="s">
        <v>125</v>
      </c>
      <c r="W137" s="11" t="s">
        <v>126</v>
      </c>
      <c r="AA137" s="11" t="s">
        <v>197</v>
      </c>
      <c r="AG137" s="57" t="s">
        <v>8</v>
      </c>
      <c r="AH137" s="49" t="s">
        <v>128</v>
      </c>
    </row>
    <row r="138" spans="2:36" x14ac:dyDescent="0.25">
      <c r="D138" s="53">
        <v>45901</v>
      </c>
      <c r="E138">
        <v>12</v>
      </c>
      <c r="F138">
        <v>66</v>
      </c>
      <c r="G138">
        <f>+E138*F138</f>
        <v>792</v>
      </c>
      <c r="I138">
        <v>12</v>
      </c>
      <c r="J138">
        <v>111</v>
      </c>
      <c r="K138">
        <f t="shared" ref="K138:K167" si="26">+I138*J138</f>
        <v>1332</v>
      </c>
      <c r="M138">
        <v>12.26</v>
      </c>
      <c r="N138">
        <v>47</v>
      </c>
      <c r="O138">
        <f t="shared" ref="O138:O167" si="27">+M138*N138</f>
        <v>576.22</v>
      </c>
      <c r="Q138">
        <v>9.34</v>
      </c>
      <c r="R138">
        <v>70</v>
      </c>
      <c r="S138">
        <f>+R138*Q138</f>
        <v>653.79999999999995</v>
      </c>
      <c r="U138">
        <v>300</v>
      </c>
      <c r="W138" s="7">
        <v>12.24</v>
      </c>
      <c r="X138">
        <v>64</v>
      </c>
      <c r="Y138">
        <f>+W138*X138</f>
        <v>783.36</v>
      </c>
      <c r="AG138" s="51">
        <f t="shared" ref="AG138:AG149" si="28">+G138+K138+O138+S138+U138+Y138</f>
        <v>4437.38</v>
      </c>
      <c r="AH138">
        <v>20357.310000000001</v>
      </c>
      <c r="AI138" t="s">
        <v>5</v>
      </c>
    </row>
    <row r="139" spans="2:36" x14ac:dyDescent="0.25">
      <c r="D139" s="53">
        <v>45902</v>
      </c>
      <c r="E139">
        <v>12</v>
      </c>
      <c r="F139">
        <v>66</v>
      </c>
      <c r="G139">
        <f t="shared" ref="G139:G167" si="29">+E139*F139</f>
        <v>792</v>
      </c>
      <c r="I139">
        <v>12</v>
      </c>
      <c r="J139">
        <v>111</v>
      </c>
      <c r="K139">
        <f t="shared" si="26"/>
        <v>1332</v>
      </c>
      <c r="M139">
        <v>12.17</v>
      </c>
      <c r="N139">
        <v>47</v>
      </c>
      <c r="O139">
        <f t="shared" si="27"/>
        <v>571.99</v>
      </c>
      <c r="Q139">
        <v>9.4</v>
      </c>
      <c r="R139">
        <v>70</v>
      </c>
      <c r="S139">
        <f t="shared" ref="S139:S167" si="30">+R139*Q139</f>
        <v>658</v>
      </c>
      <c r="U139">
        <v>413</v>
      </c>
      <c r="W139" s="7">
        <v>12.01</v>
      </c>
      <c r="X139">
        <v>64</v>
      </c>
      <c r="Y139">
        <f t="shared" ref="Y139:Y167" si="31">+W139*X139</f>
        <v>768.64</v>
      </c>
      <c r="AG139" s="51">
        <f t="shared" si="28"/>
        <v>4535.63</v>
      </c>
      <c r="AH139">
        <v>23629.9</v>
      </c>
    </row>
    <row r="140" spans="2:36" x14ac:dyDescent="0.25">
      <c r="D140" s="53">
        <v>45903</v>
      </c>
      <c r="E140">
        <v>0</v>
      </c>
      <c r="F140">
        <v>66</v>
      </c>
      <c r="G140">
        <f t="shared" si="29"/>
        <v>0</v>
      </c>
      <c r="I140">
        <v>12</v>
      </c>
      <c r="J140">
        <v>111</v>
      </c>
      <c r="K140">
        <f t="shared" si="26"/>
        <v>1332</v>
      </c>
      <c r="M140">
        <v>12.16</v>
      </c>
      <c r="N140">
        <v>47</v>
      </c>
      <c r="O140">
        <f t="shared" si="27"/>
        <v>571.52</v>
      </c>
      <c r="Q140">
        <v>12.13</v>
      </c>
      <c r="R140">
        <v>70</v>
      </c>
      <c r="S140">
        <f t="shared" si="30"/>
        <v>849.1</v>
      </c>
      <c r="U140">
        <v>300</v>
      </c>
      <c r="W140" s="7">
        <v>12.06</v>
      </c>
      <c r="X140">
        <v>64</v>
      </c>
      <c r="Y140">
        <f t="shared" si="31"/>
        <v>771.84</v>
      </c>
      <c r="AG140" s="51">
        <f t="shared" si="28"/>
        <v>3824.46</v>
      </c>
      <c r="AH140">
        <v>23717.5</v>
      </c>
    </row>
    <row r="141" spans="2:36" x14ac:dyDescent="0.25">
      <c r="D141" s="53">
        <v>45904</v>
      </c>
      <c r="E141">
        <v>9.06</v>
      </c>
      <c r="F141">
        <v>66</v>
      </c>
      <c r="G141">
        <f t="shared" si="29"/>
        <v>597.96</v>
      </c>
      <c r="I141">
        <v>6.48</v>
      </c>
      <c r="J141">
        <v>111</v>
      </c>
      <c r="K141">
        <f t="shared" si="26"/>
        <v>719.28000000000009</v>
      </c>
      <c r="M141">
        <v>9.4499999999999993</v>
      </c>
      <c r="N141">
        <v>47</v>
      </c>
      <c r="O141">
        <f t="shared" si="27"/>
        <v>444.15</v>
      </c>
      <c r="Q141">
        <v>9.3699999999999992</v>
      </c>
      <c r="R141">
        <v>70</v>
      </c>
      <c r="S141">
        <f t="shared" si="30"/>
        <v>655.9</v>
      </c>
      <c r="U141">
        <v>300</v>
      </c>
      <c r="W141" s="7">
        <v>9.44</v>
      </c>
      <c r="X141">
        <v>64</v>
      </c>
      <c r="Y141">
        <f t="shared" si="31"/>
        <v>604.16</v>
      </c>
      <c r="AG141" s="51">
        <f t="shared" si="28"/>
        <v>3321.4500000000003</v>
      </c>
      <c r="AH141">
        <v>18022</v>
      </c>
    </row>
    <row r="142" spans="2:36" x14ac:dyDescent="0.25">
      <c r="D142" s="53">
        <v>45905</v>
      </c>
      <c r="E142">
        <v>11.35</v>
      </c>
      <c r="F142">
        <v>66</v>
      </c>
      <c r="G142">
        <f t="shared" si="29"/>
        <v>749.1</v>
      </c>
      <c r="I142">
        <v>11.35</v>
      </c>
      <c r="J142">
        <v>111</v>
      </c>
      <c r="K142">
        <f t="shared" si="26"/>
        <v>1259.8499999999999</v>
      </c>
      <c r="M142">
        <v>12.27</v>
      </c>
      <c r="N142">
        <v>47</v>
      </c>
      <c r="O142">
        <f t="shared" si="27"/>
        <v>576.68999999999994</v>
      </c>
      <c r="Q142">
        <v>9.31</v>
      </c>
      <c r="R142">
        <v>70</v>
      </c>
      <c r="S142">
        <f t="shared" si="30"/>
        <v>651.70000000000005</v>
      </c>
      <c r="U142">
        <v>300</v>
      </c>
      <c r="W142" s="7">
        <v>12.14</v>
      </c>
      <c r="X142">
        <v>64</v>
      </c>
      <c r="Y142">
        <f t="shared" si="31"/>
        <v>776.96</v>
      </c>
      <c r="AG142" s="51">
        <f t="shared" si="28"/>
        <v>4314.3</v>
      </c>
      <c r="AH142">
        <v>22442.61</v>
      </c>
    </row>
    <row r="143" spans="2:36" x14ac:dyDescent="0.25">
      <c r="D143" s="53">
        <v>45906</v>
      </c>
      <c r="E143">
        <v>9.34</v>
      </c>
      <c r="F143">
        <v>66</v>
      </c>
      <c r="G143">
        <f t="shared" si="29"/>
        <v>616.43999999999994</v>
      </c>
      <c r="I143">
        <v>9.2799999999999994</v>
      </c>
      <c r="J143">
        <v>111</v>
      </c>
      <c r="K143">
        <f t="shared" si="26"/>
        <v>1030.08</v>
      </c>
      <c r="M143">
        <v>12.17</v>
      </c>
      <c r="N143">
        <v>47</v>
      </c>
      <c r="O143">
        <f t="shared" si="27"/>
        <v>571.99</v>
      </c>
      <c r="Q143">
        <v>12.08</v>
      </c>
      <c r="R143">
        <v>70</v>
      </c>
      <c r="S143">
        <f t="shared" si="30"/>
        <v>845.6</v>
      </c>
      <c r="U143">
        <v>0</v>
      </c>
      <c r="W143" s="7">
        <v>12.14</v>
      </c>
      <c r="X143">
        <v>64</v>
      </c>
      <c r="Y143">
        <f t="shared" si="31"/>
        <v>776.96</v>
      </c>
      <c r="AG143" s="51">
        <f t="shared" si="28"/>
        <v>3841.07</v>
      </c>
      <c r="AH143">
        <v>25357.03</v>
      </c>
    </row>
    <row r="144" spans="2:36" x14ac:dyDescent="0.25">
      <c r="D144" s="54">
        <v>45907</v>
      </c>
      <c r="E144">
        <v>0</v>
      </c>
      <c r="F144">
        <v>66</v>
      </c>
      <c r="G144">
        <f t="shared" si="29"/>
        <v>0</v>
      </c>
      <c r="I144">
        <v>0</v>
      </c>
      <c r="J144">
        <v>111</v>
      </c>
      <c r="K144">
        <f t="shared" si="26"/>
        <v>0</v>
      </c>
      <c r="M144">
        <v>0</v>
      </c>
      <c r="N144">
        <v>47</v>
      </c>
      <c r="O144">
        <f t="shared" si="27"/>
        <v>0</v>
      </c>
      <c r="Q144">
        <v>0</v>
      </c>
      <c r="R144">
        <v>70</v>
      </c>
      <c r="S144">
        <f t="shared" si="30"/>
        <v>0</v>
      </c>
      <c r="U144">
        <v>0</v>
      </c>
      <c r="W144" s="7">
        <v>0</v>
      </c>
      <c r="X144">
        <v>64</v>
      </c>
      <c r="Y144">
        <f t="shared" si="31"/>
        <v>0</v>
      </c>
      <c r="AG144" s="51">
        <f t="shared" si="28"/>
        <v>0</v>
      </c>
      <c r="AH144">
        <v>0</v>
      </c>
    </row>
    <row r="145" spans="4:34" x14ac:dyDescent="0.25">
      <c r="D145" s="53">
        <v>45908</v>
      </c>
      <c r="E145">
        <v>9.25</v>
      </c>
      <c r="F145">
        <v>66</v>
      </c>
      <c r="G145">
        <f t="shared" si="29"/>
        <v>610.5</v>
      </c>
      <c r="I145">
        <v>9.2200000000000006</v>
      </c>
      <c r="J145">
        <v>111</v>
      </c>
      <c r="K145">
        <f t="shared" si="26"/>
        <v>1023.4200000000001</v>
      </c>
      <c r="M145">
        <v>12.2</v>
      </c>
      <c r="N145">
        <v>47</v>
      </c>
      <c r="O145">
        <f t="shared" si="27"/>
        <v>573.4</v>
      </c>
      <c r="Q145">
        <v>12.09</v>
      </c>
      <c r="R145">
        <v>70</v>
      </c>
      <c r="S145">
        <f t="shared" si="30"/>
        <v>846.3</v>
      </c>
      <c r="U145">
        <v>300</v>
      </c>
      <c r="W145" s="7">
        <v>12.13</v>
      </c>
      <c r="X145">
        <v>64</v>
      </c>
      <c r="Y145">
        <f t="shared" si="31"/>
        <v>776.32</v>
      </c>
      <c r="AG145" s="51">
        <f t="shared" si="28"/>
        <v>4129.9399999999996</v>
      </c>
      <c r="AH145">
        <v>24431.25</v>
      </c>
    </row>
    <row r="146" spans="4:34" x14ac:dyDescent="0.25">
      <c r="D146" s="53">
        <v>45909</v>
      </c>
      <c r="E146">
        <v>11.51</v>
      </c>
      <c r="F146">
        <v>66</v>
      </c>
      <c r="G146">
        <f t="shared" si="29"/>
        <v>759.66</v>
      </c>
      <c r="I146">
        <v>11.52</v>
      </c>
      <c r="J146">
        <v>111</v>
      </c>
      <c r="K146">
        <f t="shared" si="26"/>
        <v>1278.72</v>
      </c>
      <c r="M146">
        <v>12.16</v>
      </c>
      <c r="N146">
        <v>47</v>
      </c>
      <c r="O146">
        <f t="shared" si="27"/>
        <v>571.52</v>
      </c>
      <c r="Q146">
        <v>9.36</v>
      </c>
      <c r="R146">
        <v>70</v>
      </c>
      <c r="S146">
        <f t="shared" si="30"/>
        <v>655.19999999999993</v>
      </c>
      <c r="U146">
        <v>300</v>
      </c>
      <c r="W146" s="7">
        <v>12.15</v>
      </c>
      <c r="X146">
        <v>64</v>
      </c>
      <c r="Y146">
        <f t="shared" si="31"/>
        <v>777.6</v>
      </c>
      <c r="AG146" s="51">
        <f t="shared" si="28"/>
        <v>4342.7</v>
      </c>
      <c r="AH146">
        <v>25931.25</v>
      </c>
    </row>
    <row r="147" spans="4:34" x14ac:dyDescent="0.25">
      <c r="D147" s="53">
        <v>45910</v>
      </c>
      <c r="E147">
        <v>9.5299999999999994</v>
      </c>
      <c r="F147">
        <v>66</v>
      </c>
      <c r="G147">
        <f t="shared" si="29"/>
        <v>628.9799999999999</v>
      </c>
      <c r="I147">
        <v>9.5</v>
      </c>
      <c r="J147">
        <v>111</v>
      </c>
      <c r="K147">
        <f t="shared" si="26"/>
        <v>1054.5</v>
      </c>
      <c r="M147">
        <v>12.17</v>
      </c>
      <c r="N147">
        <v>47</v>
      </c>
      <c r="O147">
        <f t="shared" si="27"/>
        <v>571.99</v>
      </c>
      <c r="Q147">
        <v>12.05</v>
      </c>
      <c r="R147">
        <v>70</v>
      </c>
      <c r="S147">
        <f t="shared" si="30"/>
        <v>843.5</v>
      </c>
      <c r="U147">
        <v>300</v>
      </c>
      <c r="W147" s="7">
        <v>12.2</v>
      </c>
      <c r="X147">
        <v>64</v>
      </c>
      <c r="Y147">
        <f t="shared" si="31"/>
        <v>780.8</v>
      </c>
      <c r="AG147" s="51">
        <f t="shared" si="28"/>
        <v>4179.7700000000004</v>
      </c>
      <c r="AH147">
        <v>25830.799999999999</v>
      </c>
    </row>
    <row r="148" spans="4:34" x14ac:dyDescent="0.25">
      <c r="D148" s="53">
        <v>45911</v>
      </c>
      <c r="E148">
        <v>11.59</v>
      </c>
      <c r="F148">
        <v>66</v>
      </c>
      <c r="G148">
        <f t="shared" si="29"/>
        <v>764.93999999999994</v>
      </c>
      <c r="I148">
        <v>11.54</v>
      </c>
      <c r="J148">
        <v>111</v>
      </c>
      <c r="K148">
        <f t="shared" si="26"/>
        <v>1280.9399999999998</v>
      </c>
      <c r="M148">
        <v>12.2</v>
      </c>
      <c r="N148">
        <v>47</v>
      </c>
      <c r="O148">
        <f t="shared" si="27"/>
        <v>573.4</v>
      </c>
      <c r="Q148">
        <v>12.14</v>
      </c>
      <c r="R148">
        <v>70</v>
      </c>
      <c r="S148">
        <f t="shared" si="30"/>
        <v>849.80000000000007</v>
      </c>
      <c r="U148">
        <v>300</v>
      </c>
      <c r="W148" s="7">
        <v>12.17</v>
      </c>
      <c r="X148">
        <v>64</v>
      </c>
      <c r="Y148">
        <f t="shared" si="31"/>
        <v>778.88</v>
      </c>
      <c r="AG148" s="51">
        <f t="shared" si="28"/>
        <v>4547.96</v>
      </c>
      <c r="AH148">
        <v>26752.45</v>
      </c>
    </row>
    <row r="149" spans="4:34" x14ac:dyDescent="0.25">
      <c r="D149" s="53">
        <v>45912</v>
      </c>
      <c r="E149">
        <v>12.22</v>
      </c>
      <c r="F149">
        <v>66</v>
      </c>
      <c r="G149">
        <f t="shared" si="29"/>
        <v>806.5200000000001</v>
      </c>
      <c r="I149">
        <v>12.2</v>
      </c>
      <c r="J149">
        <v>111</v>
      </c>
      <c r="K149">
        <f t="shared" si="26"/>
        <v>1354.1999999999998</v>
      </c>
      <c r="M149">
        <v>12.25</v>
      </c>
      <c r="N149">
        <v>47</v>
      </c>
      <c r="O149">
        <f t="shared" si="27"/>
        <v>575.75</v>
      </c>
      <c r="Q149">
        <v>12.2</v>
      </c>
      <c r="R149">
        <v>70</v>
      </c>
      <c r="S149">
        <f t="shared" si="30"/>
        <v>854</v>
      </c>
      <c r="U149">
        <v>225</v>
      </c>
      <c r="W149" s="7">
        <v>12.2</v>
      </c>
      <c r="X149">
        <v>64</v>
      </c>
      <c r="Y149">
        <f t="shared" si="31"/>
        <v>780.8</v>
      </c>
      <c r="AG149" s="51">
        <f t="shared" si="28"/>
        <v>4596.2699999999995</v>
      </c>
      <c r="AH149">
        <v>25098.19</v>
      </c>
    </row>
    <row r="150" spans="4:34" x14ac:dyDescent="0.25">
      <c r="D150" s="53">
        <v>45913</v>
      </c>
      <c r="E150">
        <v>9.2799999999999994</v>
      </c>
      <c r="F150">
        <v>66</v>
      </c>
      <c r="G150">
        <f t="shared" si="29"/>
        <v>612.4799999999999</v>
      </c>
      <c r="I150">
        <v>9.2799999999999994</v>
      </c>
      <c r="J150">
        <v>111</v>
      </c>
      <c r="K150">
        <f t="shared" si="26"/>
        <v>1030.08</v>
      </c>
      <c r="M150">
        <v>9.43</v>
      </c>
      <c r="N150">
        <v>47</v>
      </c>
      <c r="O150">
        <f t="shared" si="27"/>
        <v>443.21</v>
      </c>
      <c r="Q150">
        <v>9.3800000000000008</v>
      </c>
      <c r="R150">
        <v>70</v>
      </c>
      <c r="S150">
        <f t="shared" si="30"/>
        <v>656.6</v>
      </c>
      <c r="W150" s="7">
        <v>9.42</v>
      </c>
      <c r="X150">
        <v>64</v>
      </c>
      <c r="Y150">
        <f t="shared" si="31"/>
        <v>602.88</v>
      </c>
      <c r="AA150">
        <v>288.45999999999998</v>
      </c>
      <c r="AG150" s="51">
        <f>+G150+K150+O150+S150+U150+Y150+AA150</f>
        <v>3633.71</v>
      </c>
      <c r="AH150">
        <v>23180.7</v>
      </c>
    </row>
    <row r="151" spans="4:34" x14ac:dyDescent="0.25">
      <c r="D151" s="54">
        <v>45914</v>
      </c>
      <c r="E151">
        <v>0</v>
      </c>
      <c r="F151">
        <v>66</v>
      </c>
      <c r="G151">
        <f t="shared" si="29"/>
        <v>0</v>
      </c>
      <c r="I151">
        <v>0</v>
      </c>
      <c r="J151">
        <v>111</v>
      </c>
      <c r="K151">
        <f t="shared" si="26"/>
        <v>0</v>
      </c>
      <c r="M151">
        <v>0</v>
      </c>
      <c r="N151">
        <v>47</v>
      </c>
      <c r="O151">
        <f t="shared" si="27"/>
        <v>0</v>
      </c>
      <c r="Q151">
        <v>0</v>
      </c>
      <c r="R151">
        <v>70</v>
      </c>
      <c r="S151">
        <f t="shared" si="30"/>
        <v>0</v>
      </c>
      <c r="W151" s="7">
        <v>0</v>
      </c>
      <c r="X151">
        <v>64</v>
      </c>
      <c r="Y151">
        <f t="shared" si="31"/>
        <v>0</v>
      </c>
      <c r="AG151" s="51">
        <f t="shared" ref="AG151:AG167" si="32">+G151+K151+O151+S151+U151+Y151+AA151</f>
        <v>0</v>
      </c>
      <c r="AH151">
        <v>0</v>
      </c>
    </row>
    <row r="152" spans="4:34" x14ac:dyDescent="0.25">
      <c r="D152" s="53">
        <v>45915</v>
      </c>
      <c r="E152">
        <v>9.42</v>
      </c>
      <c r="F152">
        <v>66</v>
      </c>
      <c r="G152">
        <f t="shared" si="29"/>
        <v>621.72</v>
      </c>
      <c r="I152">
        <v>11.58</v>
      </c>
      <c r="J152">
        <v>111</v>
      </c>
      <c r="K152">
        <f t="shared" si="26"/>
        <v>1285.3800000000001</v>
      </c>
      <c r="M152">
        <v>12.1</v>
      </c>
      <c r="N152">
        <v>47</v>
      </c>
      <c r="O152">
        <f t="shared" si="27"/>
        <v>568.69999999999993</v>
      </c>
      <c r="Q152">
        <v>12.1</v>
      </c>
      <c r="R152">
        <v>70</v>
      </c>
      <c r="S152">
        <f t="shared" si="30"/>
        <v>847</v>
      </c>
      <c r="W152" s="7">
        <v>12.16</v>
      </c>
      <c r="X152">
        <v>64</v>
      </c>
      <c r="Y152">
        <f t="shared" si="31"/>
        <v>778.24</v>
      </c>
      <c r="AA152">
        <v>396.46</v>
      </c>
      <c r="AG152" s="51">
        <f t="shared" si="32"/>
        <v>4497.5</v>
      </c>
      <c r="AH152">
        <v>26345.4</v>
      </c>
    </row>
    <row r="153" spans="4:34" x14ac:dyDescent="0.25">
      <c r="D153" s="53">
        <v>45916</v>
      </c>
      <c r="E153">
        <v>12.21</v>
      </c>
      <c r="F153">
        <v>66</v>
      </c>
      <c r="G153">
        <f t="shared" si="29"/>
        <v>805.86</v>
      </c>
      <c r="I153">
        <v>12.23</v>
      </c>
      <c r="J153">
        <v>111</v>
      </c>
      <c r="K153">
        <f t="shared" si="26"/>
        <v>1357.53</v>
      </c>
      <c r="M153">
        <v>12.18</v>
      </c>
      <c r="N153">
        <v>47</v>
      </c>
      <c r="O153">
        <f t="shared" si="27"/>
        <v>572.46</v>
      </c>
      <c r="Q153">
        <v>12.14</v>
      </c>
      <c r="R153">
        <v>70</v>
      </c>
      <c r="S153">
        <f t="shared" si="30"/>
        <v>849.80000000000007</v>
      </c>
      <c r="W153" s="7">
        <v>12.1</v>
      </c>
      <c r="X153">
        <v>64</v>
      </c>
      <c r="Y153">
        <f t="shared" si="31"/>
        <v>774.4</v>
      </c>
      <c r="AA153">
        <v>396.46</v>
      </c>
      <c r="AG153" s="51">
        <f t="shared" si="32"/>
        <v>4756.51</v>
      </c>
      <c r="AH153">
        <v>26795</v>
      </c>
    </row>
    <row r="154" spans="4:34" x14ac:dyDescent="0.25">
      <c r="D154" s="53">
        <v>45917</v>
      </c>
      <c r="E154">
        <v>11.56</v>
      </c>
      <c r="F154">
        <v>66</v>
      </c>
      <c r="G154">
        <f t="shared" si="29"/>
        <v>762.96</v>
      </c>
      <c r="I154">
        <v>11.56</v>
      </c>
      <c r="J154">
        <v>111</v>
      </c>
      <c r="K154">
        <f t="shared" si="26"/>
        <v>1283.1600000000001</v>
      </c>
      <c r="M154">
        <v>12.18</v>
      </c>
      <c r="N154">
        <v>47</v>
      </c>
      <c r="O154">
        <f t="shared" si="27"/>
        <v>572.46</v>
      </c>
      <c r="Q154">
        <v>9.36</v>
      </c>
      <c r="R154">
        <v>70</v>
      </c>
      <c r="S154">
        <f t="shared" si="30"/>
        <v>655.19999999999993</v>
      </c>
      <c r="W154" s="7">
        <v>12.05</v>
      </c>
      <c r="X154">
        <v>64</v>
      </c>
      <c r="Y154">
        <f t="shared" si="31"/>
        <v>771.2</v>
      </c>
      <c r="AA154">
        <v>396.46</v>
      </c>
      <c r="AG154" s="51">
        <f t="shared" si="32"/>
        <v>4441.4399999999996</v>
      </c>
      <c r="AH154">
        <v>23606.31</v>
      </c>
    </row>
    <row r="155" spans="4:34" x14ac:dyDescent="0.25">
      <c r="D155" s="53">
        <v>45918</v>
      </c>
      <c r="E155">
        <v>11.57</v>
      </c>
      <c r="F155">
        <v>66</v>
      </c>
      <c r="G155">
        <f t="shared" si="29"/>
        <v>763.62</v>
      </c>
      <c r="I155">
        <v>11.58</v>
      </c>
      <c r="J155">
        <v>111</v>
      </c>
      <c r="K155">
        <f t="shared" si="26"/>
        <v>1285.3800000000001</v>
      </c>
      <c r="M155">
        <v>12.14</v>
      </c>
      <c r="N155">
        <v>47</v>
      </c>
      <c r="O155">
        <f t="shared" si="27"/>
        <v>570.58000000000004</v>
      </c>
      <c r="Q155">
        <v>12.07</v>
      </c>
      <c r="R155">
        <v>70</v>
      </c>
      <c r="S155">
        <f t="shared" si="30"/>
        <v>844.9</v>
      </c>
      <c r="W155" s="7">
        <v>12.07</v>
      </c>
      <c r="X155">
        <v>64</v>
      </c>
      <c r="Y155">
        <f t="shared" si="31"/>
        <v>772.48</v>
      </c>
      <c r="AA155">
        <v>396.46</v>
      </c>
      <c r="AG155" s="51">
        <f t="shared" si="32"/>
        <v>4633.42</v>
      </c>
      <c r="AH155">
        <v>22551.25</v>
      </c>
    </row>
    <row r="156" spans="4:34" x14ac:dyDescent="0.25">
      <c r="D156" s="53">
        <v>45919</v>
      </c>
      <c r="E156">
        <v>0</v>
      </c>
      <c r="F156">
        <v>66</v>
      </c>
      <c r="G156">
        <f t="shared" si="29"/>
        <v>0</v>
      </c>
      <c r="I156">
        <v>11.46</v>
      </c>
      <c r="J156">
        <v>111</v>
      </c>
      <c r="K156">
        <f t="shared" si="26"/>
        <v>1272.0600000000002</v>
      </c>
      <c r="M156">
        <v>12.19</v>
      </c>
      <c r="N156">
        <v>47</v>
      </c>
      <c r="O156">
        <f t="shared" si="27"/>
        <v>572.92999999999995</v>
      </c>
      <c r="Q156">
        <v>12.1</v>
      </c>
      <c r="R156">
        <v>70</v>
      </c>
      <c r="S156">
        <f t="shared" si="30"/>
        <v>847</v>
      </c>
      <c r="W156" s="7">
        <v>12.08</v>
      </c>
      <c r="X156">
        <v>64</v>
      </c>
      <c r="Y156">
        <f t="shared" si="31"/>
        <v>773.12</v>
      </c>
      <c r="AA156">
        <v>396.46</v>
      </c>
      <c r="AG156" s="51">
        <f t="shared" si="32"/>
        <v>3861.57</v>
      </c>
      <c r="AH156">
        <v>23254.17</v>
      </c>
    </row>
    <row r="157" spans="4:34" x14ac:dyDescent="0.25">
      <c r="D157" s="53">
        <v>45920</v>
      </c>
      <c r="E157">
        <v>10.33</v>
      </c>
      <c r="F157">
        <v>66</v>
      </c>
      <c r="G157">
        <f t="shared" si="29"/>
        <v>681.78</v>
      </c>
      <c r="I157">
        <v>10.27</v>
      </c>
      <c r="J157">
        <v>111</v>
      </c>
      <c r="K157">
        <f t="shared" si="26"/>
        <v>1139.97</v>
      </c>
      <c r="M157">
        <v>12.22</v>
      </c>
      <c r="N157">
        <v>47</v>
      </c>
      <c r="O157">
        <f t="shared" si="27"/>
        <v>574.34</v>
      </c>
      <c r="Q157">
        <v>12.1</v>
      </c>
      <c r="R157">
        <v>70</v>
      </c>
      <c r="S157">
        <f t="shared" si="30"/>
        <v>847</v>
      </c>
      <c r="W157" s="7">
        <v>12.1</v>
      </c>
      <c r="X157">
        <v>64</v>
      </c>
      <c r="Y157">
        <f t="shared" si="31"/>
        <v>774.4</v>
      </c>
      <c r="AA157">
        <v>396.46</v>
      </c>
      <c r="AG157" s="51">
        <f t="shared" si="32"/>
        <v>4413.95</v>
      </c>
      <c r="AH157">
        <v>21410.94</v>
      </c>
    </row>
    <row r="158" spans="4:34" x14ac:dyDescent="0.25">
      <c r="D158" s="54">
        <v>45921</v>
      </c>
      <c r="E158">
        <v>9.43</v>
      </c>
      <c r="F158">
        <v>66</v>
      </c>
      <c r="G158">
        <f t="shared" si="29"/>
        <v>622.38</v>
      </c>
      <c r="I158">
        <v>9.39</v>
      </c>
      <c r="J158">
        <v>111</v>
      </c>
      <c r="K158">
        <f t="shared" si="26"/>
        <v>1042.29</v>
      </c>
      <c r="M158">
        <v>12.3</v>
      </c>
      <c r="N158">
        <v>47</v>
      </c>
      <c r="O158">
        <f t="shared" si="27"/>
        <v>578.1</v>
      </c>
      <c r="Q158">
        <v>9.4499999999999993</v>
      </c>
      <c r="R158">
        <v>70</v>
      </c>
      <c r="S158">
        <f t="shared" si="30"/>
        <v>661.5</v>
      </c>
      <c r="W158" s="7">
        <v>12.22</v>
      </c>
      <c r="X158">
        <v>64</v>
      </c>
      <c r="Y158">
        <f t="shared" si="31"/>
        <v>782.08</v>
      </c>
      <c r="AA158">
        <v>396.46</v>
      </c>
      <c r="AG158" s="51">
        <f t="shared" si="32"/>
        <v>4082.81</v>
      </c>
      <c r="AH158">
        <v>17500</v>
      </c>
    </row>
    <row r="159" spans="4:34" x14ac:dyDescent="0.25">
      <c r="D159" s="53">
        <v>45922</v>
      </c>
      <c r="E159">
        <v>12.04</v>
      </c>
      <c r="F159">
        <v>66</v>
      </c>
      <c r="G159">
        <f t="shared" si="29"/>
        <v>794.64</v>
      </c>
      <c r="I159">
        <v>12</v>
      </c>
      <c r="J159">
        <v>111</v>
      </c>
      <c r="K159">
        <f t="shared" si="26"/>
        <v>1332</v>
      </c>
      <c r="M159">
        <v>12.21</v>
      </c>
      <c r="N159">
        <v>47</v>
      </c>
      <c r="O159">
        <f t="shared" si="27"/>
        <v>573.87</v>
      </c>
      <c r="Q159">
        <v>9.3800000000000008</v>
      </c>
      <c r="R159">
        <v>70</v>
      </c>
      <c r="S159">
        <f t="shared" si="30"/>
        <v>656.6</v>
      </c>
      <c r="W159" s="7">
        <v>12.11</v>
      </c>
      <c r="X159">
        <v>64</v>
      </c>
      <c r="Y159">
        <f t="shared" si="31"/>
        <v>775.04</v>
      </c>
      <c r="AA159">
        <v>396.46</v>
      </c>
      <c r="AG159" s="51">
        <f t="shared" si="32"/>
        <v>4528.6099999999997</v>
      </c>
      <c r="AH159">
        <v>23698.75</v>
      </c>
    </row>
    <row r="160" spans="4:34" x14ac:dyDescent="0.25">
      <c r="D160" s="53">
        <v>45923</v>
      </c>
      <c r="E160">
        <v>8.4700000000000006</v>
      </c>
      <c r="F160">
        <v>66</v>
      </c>
      <c r="G160">
        <f t="shared" si="29"/>
        <v>559.0200000000001</v>
      </c>
      <c r="I160">
        <v>12.09</v>
      </c>
      <c r="J160">
        <v>111</v>
      </c>
      <c r="K160">
        <f t="shared" si="26"/>
        <v>1341.99</v>
      </c>
      <c r="M160">
        <v>12.3</v>
      </c>
      <c r="N160">
        <v>47</v>
      </c>
      <c r="O160">
        <f t="shared" si="27"/>
        <v>578.1</v>
      </c>
      <c r="Q160">
        <v>12.18</v>
      </c>
      <c r="R160">
        <v>70</v>
      </c>
      <c r="S160">
        <f t="shared" si="30"/>
        <v>852.6</v>
      </c>
      <c r="W160" s="7">
        <v>12.2</v>
      </c>
      <c r="X160">
        <v>64</v>
      </c>
      <c r="Y160">
        <f t="shared" si="31"/>
        <v>780.8</v>
      </c>
      <c r="AA160">
        <v>396.46</v>
      </c>
      <c r="AG160" s="51">
        <f t="shared" si="32"/>
        <v>4508.97</v>
      </c>
      <c r="AH160">
        <v>24436.93</v>
      </c>
    </row>
    <row r="161" spans="3:36" x14ac:dyDescent="0.25">
      <c r="C161" t="s">
        <v>5</v>
      </c>
      <c r="D161" s="53">
        <v>45924</v>
      </c>
      <c r="E161">
        <v>0</v>
      </c>
      <c r="F161">
        <v>66</v>
      </c>
      <c r="G161">
        <f t="shared" si="29"/>
        <v>0</v>
      </c>
      <c r="I161">
        <v>12.08</v>
      </c>
      <c r="J161">
        <v>111</v>
      </c>
      <c r="K161">
        <f t="shared" si="26"/>
        <v>1340.88</v>
      </c>
      <c r="M161">
        <v>12.21</v>
      </c>
      <c r="N161">
        <v>47</v>
      </c>
      <c r="O161">
        <f t="shared" si="27"/>
        <v>573.87</v>
      </c>
      <c r="Q161">
        <v>12.13</v>
      </c>
      <c r="R161">
        <v>70</v>
      </c>
      <c r="S161">
        <f t="shared" si="30"/>
        <v>849.1</v>
      </c>
      <c r="W161" s="7">
        <v>12.13</v>
      </c>
      <c r="X161">
        <v>64</v>
      </c>
      <c r="Y161">
        <f t="shared" si="31"/>
        <v>776.32</v>
      </c>
      <c r="AA161">
        <v>396.46</v>
      </c>
      <c r="AG161" s="51">
        <f t="shared" si="32"/>
        <v>3936.63</v>
      </c>
      <c r="AH161">
        <v>24463.5</v>
      </c>
    </row>
    <row r="162" spans="3:36" x14ac:dyDescent="0.25">
      <c r="D162" s="53">
        <v>45925</v>
      </c>
      <c r="E162">
        <v>0</v>
      </c>
      <c r="F162">
        <v>66</v>
      </c>
      <c r="G162">
        <f t="shared" si="29"/>
        <v>0</v>
      </c>
      <c r="I162">
        <v>12.07</v>
      </c>
      <c r="J162">
        <v>111</v>
      </c>
      <c r="K162">
        <f t="shared" si="26"/>
        <v>1339.77</v>
      </c>
      <c r="M162">
        <v>12.26</v>
      </c>
      <c r="N162">
        <v>47</v>
      </c>
      <c r="O162">
        <f t="shared" si="27"/>
        <v>576.22</v>
      </c>
      <c r="Q162">
        <v>12.14</v>
      </c>
      <c r="R162">
        <v>70</v>
      </c>
      <c r="S162">
        <f t="shared" si="30"/>
        <v>849.80000000000007</v>
      </c>
      <c r="W162" s="7">
        <v>12.17</v>
      </c>
      <c r="X162">
        <v>64</v>
      </c>
      <c r="Y162">
        <f t="shared" si="31"/>
        <v>778.88</v>
      </c>
      <c r="AA162">
        <v>396.46</v>
      </c>
      <c r="AG162" s="51">
        <f t="shared" si="32"/>
        <v>3941.13</v>
      </c>
      <c r="AH162">
        <v>24938.75</v>
      </c>
    </row>
    <row r="163" spans="3:36" x14ac:dyDescent="0.25">
      <c r="D163" s="53">
        <v>45926</v>
      </c>
      <c r="E163">
        <v>0</v>
      </c>
      <c r="F163">
        <v>66</v>
      </c>
      <c r="G163">
        <f t="shared" si="29"/>
        <v>0</v>
      </c>
      <c r="I163">
        <v>12.05</v>
      </c>
      <c r="J163">
        <v>111</v>
      </c>
      <c r="K163">
        <f t="shared" si="26"/>
        <v>1337.5500000000002</v>
      </c>
      <c r="M163">
        <v>12.17</v>
      </c>
      <c r="N163">
        <v>47</v>
      </c>
      <c r="O163">
        <f t="shared" si="27"/>
        <v>571.99</v>
      </c>
      <c r="Q163">
        <v>12.13</v>
      </c>
      <c r="R163">
        <v>70</v>
      </c>
      <c r="S163">
        <f t="shared" si="30"/>
        <v>849.1</v>
      </c>
      <c r="W163" s="7">
        <v>12.12</v>
      </c>
      <c r="X163">
        <v>64</v>
      </c>
      <c r="Y163">
        <f t="shared" si="31"/>
        <v>775.68</v>
      </c>
      <c r="AA163">
        <v>396.46</v>
      </c>
      <c r="AG163" s="51">
        <f t="shared" si="32"/>
        <v>3930.78</v>
      </c>
      <c r="AH163">
        <v>24910.49</v>
      </c>
    </row>
    <row r="164" spans="3:36" x14ac:dyDescent="0.25">
      <c r="D164" s="53">
        <v>45927</v>
      </c>
      <c r="E164">
        <v>0</v>
      </c>
      <c r="F164">
        <v>66</v>
      </c>
      <c r="G164">
        <f t="shared" si="29"/>
        <v>0</v>
      </c>
      <c r="I164">
        <v>9.35</v>
      </c>
      <c r="J164">
        <v>111</v>
      </c>
      <c r="K164">
        <f t="shared" si="26"/>
        <v>1037.8499999999999</v>
      </c>
      <c r="M164">
        <v>9.5</v>
      </c>
      <c r="N164">
        <v>47</v>
      </c>
      <c r="O164">
        <f t="shared" si="27"/>
        <v>446.5</v>
      </c>
      <c r="Q164">
        <v>9.39</v>
      </c>
      <c r="R164">
        <v>70</v>
      </c>
      <c r="S164">
        <f t="shared" si="30"/>
        <v>657.30000000000007</v>
      </c>
      <c r="W164" s="7">
        <v>9.4</v>
      </c>
      <c r="X164">
        <v>64</v>
      </c>
      <c r="Y164">
        <f t="shared" si="31"/>
        <v>601.6</v>
      </c>
      <c r="AA164">
        <v>288.45999999999998</v>
      </c>
      <c r="AG164" s="51">
        <f t="shared" si="32"/>
        <v>3031.71</v>
      </c>
      <c r="AH164">
        <v>20695.939999999999</v>
      </c>
    </row>
    <row r="165" spans="3:36" x14ac:dyDescent="0.25">
      <c r="D165" s="54">
        <v>45928</v>
      </c>
      <c r="E165">
        <v>0</v>
      </c>
      <c r="F165">
        <v>66</v>
      </c>
      <c r="G165">
        <f t="shared" si="29"/>
        <v>0</v>
      </c>
      <c r="I165">
        <v>0</v>
      </c>
      <c r="J165">
        <v>111</v>
      </c>
      <c r="K165">
        <f t="shared" si="26"/>
        <v>0</v>
      </c>
      <c r="M165">
        <v>0</v>
      </c>
      <c r="N165">
        <v>47</v>
      </c>
      <c r="O165">
        <f t="shared" si="27"/>
        <v>0</v>
      </c>
      <c r="Q165">
        <v>0</v>
      </c>
      <c r="R165">
        <v>70</v>
      </c>
      <c r="S165">
        <f t="shared" si="30"/>
        <v>0</v>
      </c>
      <c r="W165" s="7">
        <v>0</v>
      </c>
      <c r="X165">
        <v>64</v>
      </c>
      <c r="Y165">
        <f t="shared" si="31"/>
        <v>0</v>
      </c>
      <c r="AA165">
        <v>0</v>
      </c>
      <c r="AG165" s="51">
        <f t="shared" si="32"/>
        <v>0</v>
      </c>
      <c r="AH165">
        <v>0</v>
      </c>
    </row>
    <row r="166" spans="3:36" x14ac:dyDescent="0.25">
      <c r="D166" s="53">
        <v>45929</v>
      </c>
      <c r="E166">
        <v>0</v>
      </c>
      <c r="F166">
        <v>66</v>
      </c>
      <c r="G166">
        <f t="shared" si="29"/>
        <v>0</v>
      </c>
      <c r="I166">
        <v>12.08</v>
      </c>
      <c r="J166">
        <v>111</v>
      </c>
      <c r="K166">
        <f t="shared" si="26"/>
        <v>1340.88</v>
      </c>
      <c r="M166">
        <v>12.12</v>
      </c>
      <c r="N166">
        <v>47</v>
      </c>
      <c r="O166">
        <f t="shared" si="27"/>
        <v>569.64</v>
      </c>
      <c r="Q166">
        <v>12.11</v>
      </c>
      <c r="R166">
        <v>70</v>
      </c>
      <c r="S166">
        <f t="shared" si="30"/>
        <v>847.69999999999993</v>
      </c>
      <c r="W166" s="7">
        <v>12.16</v>
      </c>
      <c r="X166">
        <v>64</v>
      </c>
      <c r="Y166">
        <f t="shared" si="31"/>
        <v>778.24</v>
      </c>
      <c r="AA166">
        <v>396.46</v>
      </c>
      <c r="AG166" s="51">
        <f t="shared" si="32"/>
        <v>3932.92</v>
      </c>
      <c r="AH166">
        <v>23047.47</v>
      </c>
    </row>
    <row r="167" spans="3:36" x14ac:dyDescent="0.25">
      <c r="D167" s="53">
        <v>45930</v>
      </c>
      <c r="E167">
        <v>0</v>
      </c>
      <c r="F167">
        <v>66</v>
      </c>
      <c r="G167">
        <f t="shared" si="29"/>
        <v>0</v>
      </c>
      <c r="I167">
        <v>9.32</v>
      </c>
      <c r="J167">
        <v>111</v>
      </c>
      <c r="K167">
        <f t="shared" si="26"/>
        <v>1034.52</v>
      </c>
      <c r="M167">
        <v>9.4499999999999993</v>
      </c>
      <c r="N167">
        <v>47</v>
      </c>
      <c r="O167">
        <f t="shared" si="27"/>
        <v>444.15</v>
      </c>
      <c r="Q167">
        <v>9.34</v>
      </c>
      <c r="R167">
        <v>70</v>
      </c>
      <c r="S167">
        <f t="shared" si="30"/>
        <v>653.79999999999995</v>
      </c>
      <c r="W167" s="7">
        <v>9.3699999999999992</v>
      </c>
      <c r="X167">
        <v>64</v>
      </c>
      <c r="Y167">
        <f t="shared" si="31"/>
        <v>599.67999999999995</v>
      </c>
      <c r="AA167">
        <v>288.45999999999998</v>
      </c>
      <c r="AG167" s="51">
        <f t="shared" si="32"/>
        <v>3020.61</v>
      </c>
      <c r="AH167">
        <v>17926.25</v>
      </c>
    </row>
    <row r="168" spans="3:36" x14ac:dyDescent="0.25">
      <c r="AG168" s="11">
        <f>SUM(AG138:AG167)</f>
        <v>111223.20000000001</v>
      </c>
      <c r="AH168" s="11">
        <f>SUM(AH138:AH167)</f>
        <v>630332.1399999999</v>
      </c>
      <c r="AJ168" s="11">
        <f>+AG168/AH168*100</f>
        <v>17.645173542951504</v>
      </c>
    </row>
    <row r="170" spans="3:36" x14ac:dyDescent="0.25">
      <c r="D170" s="11" t="s">
        <v>198</v>
      </c>
      <c r="E170" s="11" t="s">
        <v>121</v>
      </c>
      <c r="F170" s="11"/>
      <c r="G170" s="11"/>
      <c r="H170" s="11"/>
      <c r="I170" s="11" t="s">
        <v>122</v>
      </c>
      <c r="J170" s="11"/>
      <c r="K170" s="11"/>
      <c r="L170" s="11"/>
      <c r="M170" s="11" t="s">
        <v>123</v>
      </c>
      <c r="N170" s="11"/>
      <c r="O170" s="11"/>
      <c r="P170" s="11"/>
      <c r="Q170" s="11" t="s">
        <v>124</v>
      </c>
      <c r="R170" s="11"/>
      <c r="S170" s="11"/>
      <c r="T170" s="11"/>
      <c r="U170" s="11" t="s">
        <v>125</v>
      </c>
      <c r="V170" s="11"/>
      <c r="W170" s="11" t="s">
        <v>126</v>
      </c>
      <c r="X170" s="11"/>
      <c r="Y170" s="11"/>
      <c r="Z170" s="11"/>
      <c r="AA170" s="11" t="s">
        <v>197</v>
      </c>
      <c r="AB170" s="11"/>
      <c r="AC170" s="11"/>
      <c r="AD170" s="11"/>
      <c r="AE170" s="11"/>
      <c r="AF170" s="11"/>
      <c r="AG170" s="57" t="s">
        <v>8</v>
      </c>
      <c r="AH170" s="49" t="s">
        <v>128</v>
      </c>
    </row>
    <row r="171" spans="3:36" x14ac:dyDescent="0.25">
      <c r="D171" s="30">
        <v>45931</v>
      </c>
      <c r="E171">
        <v>0</v>
      </c>
      <c r="F171">
        <v>66</v>
      </c>
      <c r="G171">
        <f>+E171*F171</f>
        <v>0</v>
      </c>
      <c r="I171">
        <v>12.09</v>
      </c>
      <c r="J171">
        <v>111</v>
      </c>
      <c r="K171">
        <f t="shared" ref="K171:K200" si="33">+I171*J171</f>
        <v>1341.99</v>
      </c>
      <c r="M171">
        <v>12.11</v>
      </c>
      <c r="N171">
        <v>47</v>
      </c>
      <c r="O171">
        <f t="shared" ref="O171:O200" si="34">+M171*N171</f>
        <v>569.16999999999996</v>
      </c>
      <c r="Q171">
        <v>12.12</v>
      </c>
      <c r="R171">
        <v>70</v>
      </c>
      <c r="S171">
        <f>+R171*Q171</f>
        <v>848.4</v>
      </c>
      <c r="W171" s="7">
        <v>12.18</v>
      </c>
      <c r="X171">
        <v>64</v>
      </c>
      <c r="Y171">
        <f>+W171*X171</f>
        <v>779.52</v>
      </c>
      <c r="AA171">
        <v>12.18</v>
      </c>
      <c r="AB171" s="12">
        <v>24.509803921568629</v>
      </c>
      <c r="AC171" s="7">
        <f>+AA171*AB171</f>
        <v>298.52941176470591</v>
      </c>
      <c r="AD171" s="7"/>
      <c r="AE171" s="7"/>
      <c r="AG171" s="58">
        <f>+G171+K171+O171+S171+U171+Y171+AC171</f>
        <v>3837.6094117647058</v>
      </c>
      <c r="AH171">
        <v>19960</v>
      </c>
    </row>
    <row r="172" spans="3:36" x14ac:dyDescent="0.25">
      <c r="D172" s="30">
        <v>45932</v>
      </c>
      <c r="E172">
        <v>0</v>
      </c>
      <c r="F172">
        <v>66</v>
      </c>
      <c r="G172">
        <f t="shared" ref="G172:G200" si="35">+E172*F172</f>
        <v>0</v>
      </c>
      <c r="I172">
        <v>10.27</v>
      </c>
      <c r="J172">
        <v>111</v>
      </c>
      <c r="K172">
        <f t="shared" si="33"/>
        <v>1139.97</v>
      </c>
      <c r="M172">
        <v>12.08</v>
      </c>
      <c r="N172">
        <v>47</v>
      </c>
      <c r="O172">
        <f t="shared" si="34"/>
        <v>567.76</v>
      </c>
      <c r="Q172">
        <v>8.43</v>
      </c>
      <c r="R172">
        <v>70</v>
      </c>
      <c r="S172">
        <f t="shared" ref="S172:S200" si="36">+R172*Q172</f>
        <v>590.1</v>
      </c>
      <c r="W172" s="7">
        <v>12.21</v>
      </c>
      <c r="X172">
        <v>64</v>
      </c>
      <c r="Y172">
        <f t="shared" ref="Y172:Y201" si="37">+W172*X172</f>
        <v>781.44</v>
      </c>
      <c r="AA172">
        <v>5.0599999999999996</v>
      </c>
      <c r="AB172" s="12">
        <v>24.509803921568629</v>
      </c>
      <c r="AC172" s="7">
        <f t="shared" ref="AC172:AC201" si="38">+AA172*AB172</f>
        <v>124.01960784313725</v>
      </c>
      <c r="AD172" s="7"/>
      <c r="AE172" s="7"/>
      <c r="AG172" s="58">
        <f t="shared" ref="AG172:AG201" si="39">+G172+K172+O172+S172+U172+Y172+AC172</f>
        <v>3203.2896078431372</v>
      </c>
      <c r="AH172">
        <v>22645.63</v>
      </c>
    </row>
    <row r="173" spans="3:36" x14ac:dyDescent="0.25">
      <c r="D173" s="30">
        <v>45933</v>
      </c>
      <c r="E173">
        <v>0</v>
      </c>
      <c r="F173">
        <v>66</v>
      </c>
      <c r="G173">
        <f t="shared" si="35"/>
        <v>0</v>
      </c>
      <c r="I173">
        <v>12.1</v>
      </c>
      <c r="J173">
        <v>111</v>
      </c>
      <c r="K173">
        <f t="shared" si="33"/>
        <v>1343.1</v>
      </c>
      <c r="M173">
        <v>12.14</v>
      </c>
      <c r="N173">
        <v>47</v>
      </c>
      <c r="O173">
        <f t="shared" si="34"/>
        <v>570.58000000000004</v>
      </c>
      <c r="Q173">
        <v>12.15</v>
      </c>
      <c r="R173">
        <v>70</v>
      </c>
      <c r="S173">
        <f t="shared" si="36"/>
        <v>850.5</v>
      </c>
      <c r="W173" s="7">
        <v>12.22</v>
      </c>
      <c r="X173">
        <v>64</v>
      </c>
      <c r="Y173">
        <f t="shared" si="37"/>
        <v>782.08</v>
      </c>
      <c r="AA173">
        <v>12.01</v>
      </c>
      <c r="AB173" s="12">
        <v>24.509803921568629</v>
      </c>
      <c r="AC173" s="7">
        <f t="shared" si="38"/>
        <v>294.36274509803923</v>
      </c>
      <c r="AD173" s="7"/>
      <c r="AE173" s="7"/>
      <c r="AG173" s="58">
        <f t="shared" si="39"/>
        <v>3840.6227450980391</v>
      </c>
      <c r="AH173">
        <v>18936.25</v>
      </c>
    </row>
    <row r="174" spans="3:36" x14ac:dyDescent="0.25">
      <c r="D174" s="30">
        <v>45934</v>
      </c>
      <c r="E174">
        <v>0</v>
      </c>
      <c r="F174">
        <v>66</v>
      </c>
      <c r="G174">
        <f t="shared" si="35"/>
        <v>0</v>
      </c>
      <c r="I174">
        <v>11.46</v>
      </c>
      <c r="J174">
        <v>111</v>
      </c>
      <c r="K174">
        <f t="shared" si="33"/>
        <v>1272.0600000000002</v>
      </c>
      <c r="M174">
        <v>12.06</v>
      </c>
      <c r="N174">
        <v>47</v>
      </c>
      <c r="O174">
        <f t="shared" si="34"/>
        <v>566.82000000000005</v>
      </c>
      <c r="Q174">
        <v>12.09</v>
      </c>
      <c r="R174">
        <v>70</v>
      </c>
      <c r="S174">
        <f t="shared" si="36"/>
        <v>846.3</v>
      </c>
      <c r="W174" s="7">
        <v>12.09</v>
      </c>
      <c r="X174">
        <v>64</v>
      </c>
      <c r="Y174">
        <f t="shared" si="37"/>
        <v>773.76</v>
      </c>
      <c r="AA174">
        <v>12.07</v>
      </c>
      <c r="AB174" s="12">
        <v>24.509803921568629</v>
      </c>
      <c r="AC174" s="7">
        <f t="shared" si="38"/>
        <v>295.83333333333337</v>
      </c>
      <c r="AD174" s="7"/>
      <c r="AE174" s="7"/>
      <c r="AG174" s="58">
        <f t="shared" si="39"/>
        <v>3754.773333333334</v>
      </c>
      <c r="AH174">
        <v>21914.38</v>
      </c>
    </row>
    <row r="175" spans="3:36" x14ac:dyDescent="0.25">
      <c r="D175" s="48">
        <v>45935</v>
      </c>
      <c r="E175">
        <v>0</v>
      </c>
      <c r="F175">
        <v>66</v>
      </c>
      <c r="G175">
        <f t="shared" si="35"/>
        <v>0</v>
      </c>
      <c r="I175">
        <v>7.06</v>
      </c>
      <c r="J175">
        <v>111</v>
      </c>
      <c r="K175">
        <f t="shared" si="33"/>
        <v>783.66</v>
      </c>
      <c r="M175">
        <v>7.11</v>
      </c>
      <c r="N175">
        <v>47</v>
      </c>
      <c r="O175">
        <f t="shared" si="34"/>
        <v>334.17</v>
      </c>
      <c r="Q175">
        <v>7.06</v>
      </c>
      <c r="R175">
        <v>70</v>
      </c>
      <c r="S175">
        <f t="shared" si="36"/>
        <v>494.2</v>
      </c>
      <c r="W175" s="7">
        <v>7.21</v>
      </c>
      <c r="X175">
        <v>64</v>
      </c>
      <c r="Y175">
        <f t="shared" si="37"/>
        <v>461.44</v>
      </c>
      <c r="AA175">
        <v>7.14</v>
      </c>
      <c r="AB175" s="12">
        <v>24.509803921568629</v>
      </c>
      <c r="AC175" s="7">
        <f t="shared" si="38"/>
        <v>175</v>
      </c>
      <c r="AD175" s="7"/>
      <c r="AE175" s="7"/>
      <c r="AG175" s="58">
        <f t="shared" si="39"/>
        <v>2248.4699999999998</v>
      </c>
      <c r="AH175">
        <v>16911.900000000001</v>
      </c>
    </row>
    <row r="176" spans="3:36" x14ac:dyDescent="0.25">
      <c r="D176" s="30">
        <v>45936</v>
      </c>
      <c r="E176">
        <v>0</v>
      </c>
      <c r="F176">
        <v>66</v>
      </c>
      <c r="G176">
        <f t="shared" si="35"/>
        <v>0</v>
      </c>
      <c r="I176">
        <v>9.15</v>
      </c>
      <c r="J176">
        <v>111</v>
      </c>
      <c r="K176">
        <f t="shared" si="33"/>
        <v>1015.6500000000001</v>
      </c>
      <c r="M176">
        <v>9.42</v>
      </c>
      <c r="N176">
        <v>47</v>
      </c>
      <c r="O176">
        <f t="shared" si="34"/>
        <v>442.74</v>
      </c>
      <c r="Q176">
        <v>9.3800000000000008</v>
      </c>
      <c r="R176">
        <v>70</v>
      </c>
      <c r="S176">
        <f t="shared" si="36"/>
        <v>656.6</v>
      </c>
      <c r="W176" s="7">
        <v>9.4600000000000009</v>
      </c>
      <c r="X176">
        <v>64</v>
      </c>
      <c r="Y176">
        <f t="shared" si="37"/>
        <v>605.44000000000005</v>
      </c>
      <c r="AA176">
        <v>9.3800000000000008</v>
      </c>
      <c r="AB176" s="12">
        <v>24.509803921568629</v>
      </c>
      <c r="AC176" s="7">
        <f t="shared" si="38"/>
        <v>229.90196078431376</v>
      </c>
      <c r="AD176" s="7"/>
      <c r="AE176" s="7"/>
      <c r="AG176" s="58">
        <f t="shared" si="39"/>
        <v>2950.3319607843141</v>
      </c>
      <c r="AH176">
        <v>17012.5</v>
      </c>
    </row>
    <row r="177" spans="4:39" x14ac:dyDescent="0.25">
      <c r="D177" s="30">
        <v>45937</v>
      </c>
      <c r="E177">
        <v>0</v>
      </c>
      <c r="F177">
        <v>66</v>
      </c>
      <c r="G177">
        <f t="shared" si="35"/>
        <v>0</v>
      </c>
      <c r="I177">
        <v>7.59</v>
      </c>
      <c r="J177">
        <v>111</v>
      </c>
      <c r="K177">
        <f t="shared" si="33"/>
        <v>842.49</v>
      </c>
      <c r="M177">
        <v>12.15</v>
      </c>
      <c r="N177">
        <v>47</v>
      </c>
      <c r="O177">
        <f t="shared" si="34"/>
        <v>571.05000000000007</v>
      </c>
      <c r="Q177">
        <v>12.06</v>
      </c>
      <c r="R177">
        <v>70</v>
      </c>
      <c r="S177">
        <f t="shared" si="36"/>
        <v>844.2</v>
      </c>
      <c r="W177" s="7">
        <v>12.16</v>
      </c>
      <c r="X177">
        <v>64</v>
      </c>
      <c r="Y177">
        <f t="shared" si="37"/>
        <v>778.24</v>
      </c>
      <c r="AA177">
        <v>12.14</v>
      </c>
      <c r="AB177" s="12">
        <v>24.509803921568629</v>
      </c>
      <c r="AC177" s="7">
        <f t="shared" si="38"/>
        <v>297.54901960784315</v>
      </c>
      <c r="AD177" s="7"/>
      <c r="AE177" s="7"/>
      <c r="AG177" s="58">
        <f t="shared" si="39"/>
        <v>3333.5290196078427</v>
      </c>
      <c r="AH177">
        <v>21800</v>
      </c>
    </row>
    <row r="178" spans="4:39" x14ac:dyDescent="0.25">
      <c r="D178" s="30">
        <v>45938</v>
      </c>
      <c r="E178">
        <v>0</v>
      </c>
      <c r="F178">
        <v>66</v>
      </c>
      <c r="G178">
        <f t="shared" si="35"/>
        <v>0</v>
      </c>
      <c r="I178">
        <v>10.1</v>
      </c>
      <c r="J178">
        <v>111</v>
      </c>
      <c r="K178">
        <f t="shared" si="33"/>
        <v>1121.0999999999999</v>
      </c>
      <c r="M178">
        <v>12.11</v>
      </c>
      <c r="N178">
        <v>47</v>
      </c>
      <c r="O178">
        <f t="shared" si="34"/>
        <v>569.16999999999996</v>
      </c>
      <c r="Q178">
        <v>12.12</v>
      </c>
      <c r="R178">
        <v>70</v>
      </c>
      <c r="S178">
        <f t="shared" si="36"/>
        <v>848.4</v>
      </c>
      <c r="W178" s="7">
        <v>12.17</v>
      </c>
      <c r="X178">
        <v>64</v>
      </c>
      <c r="Y178">
        <f t="shared" si="37"/>
        <v>778.88</v>
      </c>
      <c r="AA178">
        <v>12.13</v>
      </c>
      <c r="AB178" s="12">
        <v>24.509803921568629</v>
      </c>
      <c r="AC178" s="7">
        <f t="shared" si="38"/>
        <v>297.30392156862752</v>
      </c>
      <c r="AD178" s="7"/>
      <c r="AE178" s="7"/>
      <c r="AG178" s="58">
        <f t="shared" si="39"/>
        <v>3614.8539215686278</v>
      </c>
      <c r="AH178">
        <v>22083.14</v>
      </c>
    </row>
    <row r="179" spans="4:39" x14ac:dyDescent="0.25">
      <c r="D179" s="30">
        <v>45939</v>
      </c>
      <c r="E179">
        <v>0</v>
      </c>
      <c r="F179">
        <v>66</v>
      </c>
      <c r="G179">
        <f t="shared" si="35"/>
        <v>0</v>
      </c>
      <c r="I179">
        <v>10.38</v>
      </c>
      <c r="J179">
        <v>111</v>
      </c>
      <c r="K179">
        <f t="shared" si="33"/>
        <v>1152.18</v>
      </c>
      <c r="M179">
        <v>12.11</v>
      </c>
      <c r="N179">
        <v>47</v>
      </c>
      <c r="O179">
        <f t="shared" si="34"/>
        <v>569.16999999999996</v>
      </c>
      <c r="Q179">
        <v>9.33</v>
      </c>
      <c r="R179">
        <v>70</v>
      </c>
      <c r="S179">
        <f t="shared" si="36"/>
        <v>653.1</v>
      </c>
      <c r="W179" s="7">
        <v>12.11</v>
      </c>
      <c r="X179">
        <v>64</v>
      </c>
      <c r="Y179">
        <f t="shared" si="37"/>
        <v>775.04</v>
      </c>
      <c r="AA179">
        <v>12.09</v>
      </c>
      <c r="AB179" s="12">
        <v>24.509803921568629</v>
      </c>
      <c r="AC179" s="7">
        <f t="shared" si="38"/>
        <v>296.3235294117647</v>
      </c>
      <c r="AD179" s="7"/>
      <c r="AE179" s="7"/>
      <c r="AG179" s="58">
        <f t="shared" si="39"/>
        <v>3445.8135294117646</v>
      </c>
      <c r="AH179">
        <v>22478.76</v>
      </c>
    </row>
    <row r="180" spans="4:39" x14ac:dyDescent="0.25">
      <c r="D180" s="30">
        <v>45940</v>
      </c>
      <c r="E180">
        <v>0</v>
      </c>
      <c r="F180">
        <v>66</v>
      </c>
      <c r="G180">
        <f t="shared" si="35"/>
        <v>0</v>
      </c>
      <c r="I180">
        <v>8.34</v>
      </c>
      <c r="J180">
        <v>111</v>
      </c>
      <c r="K180">
        <f t="shared" si="33"/>
        <v>925.74</v>
      </c>
      <c r="M180">
        <v>9.24</v>
      </c>
      <c r="N180">
        <v>47</v>
      </c>
      <c r="O180">
        <f t="shared" si="34"/>
        <v>434.28000000000003</v>
      </c>
      <c r="Q180">
        <v>9.08</v>
      </c>
      <c r="R180">
        <v>70</v>
      </c>
      <c r="S180">
        <f t="shared" si="36"/>
        <v>635.6</v>
      </c>
      <c r="W180" s="7">
        <v>9.26</v>
      </c>
      <c r="X180">
        <v>64</v>
      </c>
      <c r="Y180">
        <f t="shared" si="37"/>
        <v>592.64</v>
      </c>
      <c r="AA180">
        <v>9.34</v>
      </c>
      <c r="AB180" s="12">
        <v>24.509803921568629</v>
      </c>
      <c r="AC180" s="7">
        <f t="shared" si="38"/>
        <v>228.92156862745099</v>
      </c>
      <c r="AD180" s="7"/>
      <c r="AE180" s="7"/>
      <c r="AG180" s="58">
        <f t="shared" si="39"/>
        <v>2817.1815686274508</v>
      </c>
      <c r="AH180">
        <v>17545</v>
      </c>
    </row>
    <row r="181" spans="4:39" x14ac:dyDescent="0.25">
      <c r="D181" s="30">
        <v>45941</v>
      </c>
      <c r="E181">
        <v>9.26</v>
      </c>
      <c r="F181">
        <v>66</v>
      </c>
      <c r="G181">
        <f t="shared" si="35"/>
        <v>611.16</v>
      </c>
      <c r="I181">
        <v>9.25</v>
      </c>
      <c r="J181">
        <v>111</v>
      </c>
      <c r="K181">
        <f t="shared" si="33"/>
        <v>1026.75</v>
      </c>
      <c r="M181">
        <v>9.39</v>
      </c>
      <c r="N181">
        <v>47</v>
      </c>
      <c r="O181">
        <f t="shared" si="34"/>
        <v>441.33000000000004</v>
      </c>
      <c r="Q181">
        <v>11.38</v>
      </c>
      <c r="R181">
        <v>70</v>
      </c>
      <c r="S181">
        <f t="shared" si="36"/>
        <v>796.6</v>
      </c>
      <c r="W181" s="7">
        <v>9.43</v>
      </c>
      <c r="X181">
        <v>64</v>
      </c>
      <c r="Y181">
        <f t="shared" si="37"/>
        <v>603.52</v>
      </c>
      <c r="AA181">
        <v>9.4700000000000006</v>
      </c>
      <c r="AB181" s="12">
        <v>24.509803921568629</v>
      </c>
      <c r="AC181" s="7">
        <f t="shared" si="38"/>
        <v>232.10784313725495</v>
      </c>
      <c r="AD181" s="7"/>
      <c r="AE181" s="7"/>
      <c r="AG181" s="58">
        <f t="shared" si="39"/>
        <v>3711.4678431372545</v>
      </c>
      <c r="AH181">
        <v>19220</v>
      </c>
    </row>
    <row r="182" spans="4:39" x14ac:dyDescent="0.25">
      <c r="D182" s="48">
        <v>45942</v>
      </c>
      <c r="E182">
        <v>0</v>
      </c>
      <c r="F182">
        <v>66</v>
      </c>
      <c r="G182">
        <f t="shared" si="35"/>
        <v>0</v>
      </c>
      <c r="I182">
        <v>0</v>
      </c>
      <c r="J182">
        <v>111</v>
      </c>
      <c r="K182">
        <f t="shared" si="33"/>
        <v>0</v>
      </c>
      <c r="M182">
        <v>0</v>
      </c>
      <c r="N182">
        <v>47</v>
      </c>
      <c r="O182">
        <f t="shared" si="34"/>
        <v>0</v>
      </c>
      <c r="Q182">
        <v>0</v>
      </c>
      <c r="R182">
        <v>70</v>
      </c>
      <c r="S182">
        <f t="shared" si="36"/>
        <v>0</v>
      </c>
      <c r="W182" s="7">
        <v>0</v>
      </c>
      <c r="X182">
        <v>64</v>
      </c>
      <c r="Y182">
        <f t="shared" si="37"/>
        <v>0</v>
      </c>
      <c r="AA182">
        <v>0</v>
      </c>
      <c r="AB182" s="12">
        <v>24.509803921568629</v>
      </c>
      <c r="AC182" s="7">
        <f t="shared" si="38"/>
        <v>0</v>
      </c>
      <c r="AD182" s="7"/>
      <c r="AE182" s="7"/>
      <c r="AG182" s="58">
        <f t="shared" si="39"/>
        <v>0</v>
      </c>
      <c r="AH182">
        <v>0</v>
      </c>
    </row>
    <row r="183" spans="4:39" x14ac:dyDescent="0.25">
      <c r="D183" s="30">
        <v>45943</v>
      </c>
      <c r="E183">
        <v>10.49</v>
      </c>
      <c r="F183">
        <v>66</v>
      </c>
      <c r="G183">
        <f t="shared" si="35"/>
        <v>692.34</v>
      </c>
      <c r="I183">
        <v>10.45</v>
      </c>
      <c r="J183">
        <v>111</v>
      </c>
      <c r="K183">
        <f t="shared" si="33"/>
        <v>1159.9499999999998</v>
      </c>
      <c r="M183">
        <v>12.08</v>
      </c>
      <c r="N183">
        <v>47</v>
      </c>
      <c r="O183">
        <f t="shared" si="34"/>
        <v>567.76</v>
      </c>
      <c r="Q183">
        <v>9.4</v>
      </c>
      <c r="R183">
        <v>70</v>
      </c>
      <c r="S183">
        <f t="shared" si="36"/>
        <v>658</v>
      </c>
      <c r="W183" s="7">
        <v>12.21</v>
      </c>
      <c r="X183">
        <v>64</v>
      </c>
      <c r="Y183">
        <f t="shared" si="37"/>
        <v>781.44</v>
      </c>
      <c r="AA183">
        <v>12.1</v>
      </c>
      <c r="AB183" s="12">
        <v>24.509803921568629</v>
      </c>
      <c r="AC183" s="7">
        <f t="shared" si="38"/>
        <v>296.56862745098039</v>
      </c>
      <c r="AD183" s="7"/>
      <c r="AE183" s="7"/>
      <c r="AG183" s="58">
        <f t="shared" si="39"/>
        <v>4156.0586274509806</v>
      </c>
      <c r="AH183">
        <v>16090</v>
      </c>
    </row>
    <row r="184" spans="4:39" x14ac:dyDescent="0.25">
      <c r="D184" s="30">
        <v>45944</v>
      </c>
      <c r="E184">
        <v>9.43</v>
      </c>
      <c r="F184">
        <v>66</v>
      </c>
      <c r="G184">
        <f t="shared" si="35"/>
        <v>622.38</v>
      </c>
      <c r="I184">
        <v>0</v>
      </c>
      <c r="J184">
        <v>111</v>
      </c>
      <c r="K184">
        <f t="shared" si="33"/>
        <v>0</v>
      </c>
      <c r="M184">
        <v>12.08</v>
      </c>
      <c r="N184">
        <v>47</v>
      </c>
      <c r="O184">
        <f t="shared" si="34"/>
        <v>567.76</v>
      </c>
      <c r="Q184">
        <v>12.09</v>
      </c>
      <c r="R184">
        <v>70</v>
      </c>
      <c r="S184">
        <f t="shared" si="36"/>
        <v>846.3</v>
      </c>
      <c r="W184" s="7">
        <v>12.21</v>
      </c>
      <c r="X184">
        <v>64</v>
      </c>
      <c r="Y184">
        <f t="shared" si="37"/>
        <v>781.44</v>
      </c>
      <c r="AA184">
        <v>12.12</v>
      </c>
      <c r="AB184" s="12">
        <v>24.509803921568629</v>
      </c>
      <c r="AC184" s="7">
        <f t="shared" si="38"/>
        <v>297.05882352941177</v>
      </c>
      <c r="AD184" s="7"/>
      <c r="AE184" s="7"/>
      <c r="AG184" s="58">
        <f t="shared" si="39"/>
        <v>3114.9388235294118</v>
      </c>
      <c r="AH184">
        <v>15526.25</v>
      </c>
    </row>
    <row r="185" spans="4:39" x14ac:dyDescent="0.25">
      <c r="D185" s="30">
        <v>45945</v>
      </c>
      <c r="E185">
        <v>9.41</v>
      </c>
      <c r="F185">
        <v>66</v>
      </c>
      <c r="G185">
        <f t="shared" si="35"/>
        <v>621.06000000000006</v>
      </c>
      <c r="I185">
        <v>9.36</v>
      </c>
      <c r="J185">
        <v>111</v>
      </c>
      <c r="K185">
        <f t="shared" si="33"/>
        <v>1038.96</v>
      </c>
      <c r="M185">
        <v>12.03</v>
      </c>
      <c r="N185">
        <v>47</v>
      </c>
      <c r="O185">
        <f t="shared" si="34"/>
        <v>565.41</v>
      </c>
      <c r="Q185">
        <v>10.36</v>
      </c>
      <c r="R185">
        <v>70</v>
      </c>
      <c r="S185">
        <f t="shared" si="36"/>
        <v>725.19999999999993</v>
      </c>
      <c r="W185" s="7">
        <v>12.15</v>
      </c>
      <c r="X185">
        <v>64</v>
      </c>
      <c r="Y185">
        <f t="shared" si="37"/>
        <v>777.6</v>
      </c>
      <c r="AA185">
        <v>9.11</v>
      </c>
      <c r="AB185" s="12">
        <v>24.509803921568629</v>
      </c>
      <c r="AC185" s="7">
        <f t="shared" si="38"/>
        <v>223.28431372549019</v>
      </c>
      <c r="AD185" s="7"/>
      <c r="AE185" s="7"/>
      <c r="AG185" s="58">
        <f t="shared" si="39"/>
        <v>3951.51431372549</v>
      </c>
      <c r="AH185">
        <v>15747.5</v>
      </c>
    </row>
    <row r="186" spans="4:39" x14ac:dyDescent="0.25">
      <c r="D186" s="30">
        <v>45946</v>
      </c>
      <c r="E186">
        <v>9.5399999999999991</v>
      </c>
      <c r="F186">
        <v>66</v>
      </c>
      <c r="G186">
        <f t="shared" si="35"/>
        <v>629.64</v>
      </c>
      <c r="I186">
        <v>9.56</v>
      </c>
      <c r="J186">
        <v>111</v>
      </c>
      <c r="K186">
        <f t="shared" si="33"/>
        <v>1061.1600000000001</v>
      </c>
      <c r="M186">
        <v>12.06</v>
      </c>
      <c r="N186">
        <v>47</v>
      </c>
      <c r="O186">
        <f t="shared" si="34"/>
        <v>566.82000000000005</v>
      </c>
      <c r="Q186">
        <v>9.43</v>
      </c>
      <c r="R186">
        <v>70</v>
      </c>
      <c r="S186">
        <f t="shared" si="36"/>
        <v>660.1</v>
      </c>
      <c r="W186" s="7">
        <v>12.1</v>
      </c>
      <c r="X186">
        <v>64</v>
      </c>
      <c r="Y186">
        <f t="shared" si="37"/>
        <v>774.4</v>
      </c>
      <c r="AA186">
        <v>12.09</v>
      </c>
      <c r="AB186" s="12">
        <v>24.509803921568629</v>
      </c>
      <c r="AC186" s="7">
        <f t="shared" si="38"/>
        <v>296.3235294117647</v>
      </c>
      <c r="AD186" s="7"/>
      <c r="AE186" s="7"/>
      <c r="AG186" s="58">
        <f t="shared" si="39"/>
        <v>3988.4435294117652</v>
      </c>
      <c r="AH186">
        <v>15233.76</v>
      </c>
    </row>
    <row r="187" spans="4:39" x14ac:dyDescent="0.25">
      <c r="D187" s="30">
        <v>45947</v>
      </c>
      <c r="E187">
        <v>9.3000000000000007</v>
      </c>
      <c r="F187">
        <v>66</v>
      </c>
      <c r="G187">
        <f t="shared" si="35"/>
        <v>613.80000000000007</v>
      </c>
      <c r="I187">
        <v>9.3000000000000007</v>
      </c>
      <c r="J187">
        <v>111</v>
      </c>
      <c r="K187">
        <f t="shared" si="33"/>
        <v>1032.3000000000002</v>
      </c>
      <c r="M187">
        <v>12.18</v>
      </c>
      <c r="N187">
        <v>47</v>
      </c>
      <c r="O187">
        <f t="shared" si="34"/>
        <v>572.46</v>
      </c>
      <c r="Q187">
        <v>9.41</v>
      </c>
      <c r="R187">
        <v>70</v>
      </c>
      <c r="S187">
        <f t="shared" si="36"/>
        <v>658.7</v>
      </c>
      <c r="W187" s="7">
        <v>12.09</v>
      </c>
      <c r="X187">
        <v>64</v>
      </c>
      <c r="Y187">
        <f t="shared" si="37"/>
        <v>773.76</v>
      </c>
      <c r="AA187">
        <v>12.13</v>
      </c>
      <c r="AB187" s="12">
        <v>24.509803921568629</v>
      </c>
      <c r="AC187" s="7">
        <f t="shared" si="38"/>
        <v>297.30392156862752</v>
      </c>
      <c r="AD187" s="7"/>
      <c r="AE187" s="7"/>
      <c r="AG187" s="58">
        <f t="shared" si="39"/>
        <v>3948.3239215686281</v>
      </c>
      <c r="AH187">
        <v>15503.76</v>
      </c>
    </row>
    <row r="188" spans="4:39" x14ac:dyDescent="0.25">
      <c r="D188" s="30">
        <v>45948</v>
      </c>
      <c r="E188">
        <v>8.51</v>
      </c>
      <c r="F188">
        <v>66</v>
      </c>
      <c r="G188">
        <f t="shared" si="35"/>
        <v>561.66</v>
      </c>
      <c r="I188">
        <v>9.02</v>
      </c>
      <c r="J188">
        <v>111</v>
      </c>
      <c r="K188">
        <f t="shared" si="33"/>
        <v>1001.2199999999999</v>
      </c>
      <c r="M188">
        <v>9.32</v>
      </c>
      <c r="N188">
        <v>47</v>
      </c>
      <c r="O188">
        <f t="shared" si="34"/>
        <v>438.04</v>
      </c>
      <c r="Q188">
        <v>9.1999999999999993</v>
      </c>
      <c r="R188">
        <v>70</v>
      </c>
      <c r="S188">
        <f t="shared" si="36"/>
        <v>644</v>
      </c>
      <c r="W188" s="7">
        <v>9.25</v>
      </c>
      <c r="X188">
        <v>64</v>
      </c>
      <c r="Y188">
        <f t="shared" si="37"/>
        <v>592</v>
      </c>
      <c r="AA188">
        <v>9.2200000000000006</v>
      </c>
      <c r="AB188" s="12">
        <v>24.509803921568629</v>
      </c>
      <c r="AC188" s="7">
        <f t="shared" si="38"/>
        <v>225.98039215686276</v>
      </c>
      <c r="AD188" s="7"/>
      <c r="AE188" s="7"/>
      <c r="AG188" s="58">
        <f t="shared" si="39"/>
        <v>3462.9003921568628</v>
      </c>
      <c r="AH188">
        <v>14001.88</v>
      </c>
    </row>
    <row r="189" spans="4:39" x14ac:dyDescent="0.25">
      <c r="D189" s="48">
        <v>45949</v>
      </c>
      <c r="E189">
        <v>0</v>
      </c>
      <c r="F189">
        <v>66</v>
      </c>
      <c r="G189">
        <f t="shared" si="35"/>
        <v>0</v>
      </c>
      <c r="I189">
        <v>0</v>
      </c>
      <c r="J189">
        <v>111</v>
      </c>
      <c r="K189">
        <f t="shared" si="33"/>
        <v>0</v>
      </c>
      <c r="M189">
        <v>0</v>
      </c>
      <c r="N189">
        <v>47</v>
      </c>
      <c r="O189">
        <f t="shared" si="34"/>
        <v>0</v>
      </c>
      <c r="Q189">
        <v>0</v>
      </c>
      <c r="R189">
        <v>70</v>
      </c>
      <c r="S189">
        <f t="shared" si="36"/>
        <v>0</v>
      </c>
      <c r="W189" s="7">
        <v>0</v>
      </c>
      <c r="X189">
        <v>64</v>
      </c>
      <c r="Y189">
        <f t="shared" si="37"/>
        <v>0</v>
      </c>
      <c r="AA189">
        <v>0</v>
      </c>
      <c r="AB189" s="12">
        <v>24.509803921568629</v>
      </c>
      <c r="AC189" s="7">
        <f t="shared" si="38"/>
        <v>0</v>
      </c>
      <c r="AD189" s="7"/>
      <c r="AE189" s="7"/>
      <c r="AG189" s="58">
        <f t="shared" si="39"/>
        <v>0</v>
      </c>
      <c r="AH189">
        <v>0</v>
      </c>
    </row>
    <row r="190" spans="4:39" x14ac:dyDescent="0.25">
      <c r="D190" s="30">
        <v>45950</v>
      </c>
      <c r="E190">
        <v>0</v>
      </c>
      <c r="F190">
        <v>66</v>
      </c>
      <c r="G190">
        <f t="shared" si="35"/>
        <v>0</v>
      </c>
      <c r="I190">
        <v>0</v>
      </c>
      <c r="J190">
        <v>111</v>
      </c>
      <c r="K190">
        <f t="shared" si="33"/>
        <v>0</v>
      </c>
      <c r="M190">
        <v>0</v>
      </c>
      <c r="N190">
        <v>47</v>
      </c>
      <c r="O190">
        <f t="shared" si="34"/>
        <v>0</v>
      </c>
      <c r="Q190">
        <v>0</v>
      </c>
      <c r="R190">
        <v>70</v>
      </c>
      <c r="S190">
        <f t="shared" si="36"/>
        <v>0</v>
      </c>
      <c r="W190" s="7">
        <v>0</v>
      </c>
      <c r="X190">
        <v>64</v>
      </c>
      <c r="Y190">
        <f t="shared" si="37"/>
        <v>0</v>
      </c>
      <c r="AA190">
        <v>0</v>
      </c>
      <c r="AB190" s="12">
        <v>24.509803921568629</v>
      </c>
      <c r="AC190" s="7">
        <f t="shared" si="38"/>
        <v>0</v>
      </c>
      <c r="AD190" s="7"/>
      <c r="AE190" s="7"/>
      <c r="AG190" s="58">
        <f t="shared" si="39"/>
        <v>0</v>
      </c>
      <c r="AH190">
        <v>0</v>
      </c>
      <c r="AK190" t="s">
        <v>5</v>
      </c>
      <c r="AL190" t="s">
        <v>5</v>
      </c>
    </row>
    <row r="191" spans="4:39" x14ac:dyDescent="0.25">
      <c r="D191" s="30">
        <v>45951</v>
      </c>
      <c r="E191">
        <v>0</v>
      </c>
      <c r="F191">
        <v>66</v>
      </c>
      <c r="G191">
        <f t="shared" si="35"/>
        <v>0</v>
      </c>
      <c r="I191">
        <v>0</v>
      </c>
      <c r="J191">
        <v>111</v>
      </c>
      <c r="K191">
        <f t="shared" si="33"/>
        <v>0</v>
      </c>
      <c r="M191">
        <v>0</v>
      </c>
      <c r="N191">
        <v>47</v>
      </c>
      <c r="O191">
        <f t="shared" si="34"/>
        <v>0</v>
      </c>
      <c r="Q191">
        <v>0</v>
      </c>
      <c r="R191">
        <v>70</v>
      </c>
      <c r="S191">
        <f t="shared" si="36"/>
        <v>0</v>
      </c>
      <c r="W191" s="7">
        <v>0</v>
      </c>
      <c r="X191">
        <v>64</v>
      </c>
      <c r="Y191">
        <f t="shared" si="37"/>
        <v>0</v>
      </c>
      <c r="AA191">
        <v>0</v>
      </c>
      <c r="AB191" s="12">
        <v>24.509803921568629</v>
      </c>
      <c r="AC191" s="7">
        <f t="shared" si="38"/>
        <v>0</v>
      </c>
      <c r="AD191" s="7"/>
      <c r="AE191" s="7"/>
      <c r="AG191" s="58">
        <f t="shared" si="39"/>
        <v>0</v>
      </c>
      <c r="AH191">
        <v>0</v>
      </c>
      <c r="AM191" t="s">
        <v>5</v>
      </c>
    </row>
    <row r="192" spans="4:39" x14ac:dyDescent="0.25">
      <c r="D192" s="30">
        <v>45952</v>
      </c>
      <c r="E192">
        <v>0</v>
      </c>
      <c r="F192">
        <v>66</v>
      </c>
      <c r="G192">
        <f t="shared" si="35"/>
        <v>0</v>
      </c>
      <c r="I192">
        <v>0</v>
      </c>
      <c r="J192">
        <v>111</v>
      </c>
      <c r="K192">
        <f t="shared" si="33"/>
        <v>0</v>
      </c>
      <c r="M192">
        <v>9.42</v>
      </c>
      <c r="N192">
        <v>47</v>
      </c>
      <c r="O192">
        <f t="shared" si="34"/>
        <v>442.74</v>
      </c>
      <c r="Q192">
        <v>9.33</v>
      </c>
      <c r="R192">
        <v>70</v>
      </c>
      <c r="S192">
        <f t="shared" si="36"/>
        <v>653.1</v>
      </c>
      <c r="W192" s="7">
        <v>9.42</v>
      </c>
      <c r="X192">
        <v>64</v>
      </c>
      <c r="Y192">
        <f t="shared" si="37"/>
        <v>602.88</v>
      </c>
      <c r="AA192">
        <v>9.3800000000000008</v>
      </c>
      <c r="AB192" s="12">
        <v>24.509803921568629</v>
      </c>
      <c r="AC192" s="7">
        <f t="shared" si="38"/>
        <v>229.90196078431376</v>
      </c>
      <c r="AD192" s="7"/>
      <c r="AE192" s="7"/>
      <c r="AG192" s="58">
        <f t="shared" si="39"/>
        <v>1928.6219607843141</v>
      </c>
      <c r="AH192">
        <v>7040</v>
      </c>
    </row>
    <row r="193" spans="4:40" x14ac:dyDescent="0.25">
      <c r="D193" s="30">
        <v>45953</v>
      </c>
      <c r="E193">
        <v>0</v>
      </c>
      <c r="F193">
        <v>66</v>
      </c>
      <c r="G193">
        <f t="shared" si="35"/>
        <v>0</v>
      </c>
      <c r="I193">
        <v>0</v>
      </c>
      <c r="J193">
        <v>111</v>
      </c>
      <c r="K193">
        <f t="shared" si="33"/>
        <v>0</v>
      </c>
      <c r="M193">
        <v>9.42</v>
      </c>
      <c r="N193">
        <v>47</v>
      </c>
      <c r="O193">
        <f t="shared" si="34"/>
        <v>442.74</v>
      </c>
      <c r="Q193">
        <v>10.39</v>
      </c>
      <c r="R193">
        <v>70</v>
      </c>
      <c r="S193">
        <f t="shared" si="36"/>
        <v>727.30000000000007</v>
      </c>
      <c r="W193" s="7">
        <v>9.3800000000000008</v>
      </c>
      <c r="X193">
        <v>64</v>
      </c>
      <c r="Y193">
        <f t="shared" si="37"/>
        <v>600.32000000000005</v>
      </c>
      <c r="AA193">
        <v>9.31</v>
      </c>
      <c r="AB193" s="12">
        <v>24.509803921568629</v>
      </c>
      <c r="AC193" s="7">
        <f t="shared" si="38"/>
        <v>228.18627450980395</v>
      </c>
      <c r="AD193" s="7"/>
      <c r="AE193" s="7"/>
      <c r="AG193" s="58">
        <f t="shared" si="39"/>
        <v>1998.5462745098041</v>
      </c>
      <c r="AH193">
        <v>6420</v>
      </c>
    </row>
    <row r="194" spans="4:40" x14ac:dyDescent="0.25">
      <c r="D194" s="30">
        <v>45954</v>
      </c>
      <c r="E194">
        <v>8.59</v>
      </c>
      <c r="F194">
        <v>66</v>
      </c>
      <c r="G194">
        <f t="shared" si="35"/>
        <v>566.93999999999994</v>
      </c>
      <c r="I194">
        <v>0</v>
      </c>
      <c r="J194">
        <v>111</v>
      </c>
      <c r="K194">
        <f t="shared" si="33"/>
        <v>0</v>
      </c>
      <c r="M194">
        <v>9.4</v>
      </c>
      <c r="N194">
        <v>47</v>
      </c>
      <c r="O194">
        <f t="shared" si="34"/>
        <v>441.8</v>
      </c>
      <c r="Q194">
        <v>9.4</v>
      </c>
      <c r="R194">
        <v>70</v>
      </c>
      <c r="S194">
        <f t="shared" si="36"/>
        <v>658</v>
      </c>
      <c r="W194" s="7">
        <v>9.3699999999999992</v>
      </c>
      <c r="X194">
        <v>64</v>
      </c>
      <c r="Y194">
        <f t="shared" si="37"/>
        <v>599.67999999999995</v>
      </c>
      <c r="AA194">
        <v>9.31</v>
      </c>
      <c r="AB194" s="12">
        <v>24.509803921568629</v>
      </c>
      <c r="AC194" s="7">
        <f t="shared" si="38"/>
        <v>228.18627450980395</v>
      </c>
      <c r="AD194" s="7"/>
      <c r="AE194" s="7"/>
      <c r="AG194" s="58">
        <f t="shared" si="39"/>
        <v>2494.6062745098038</v>
      </c>
      <c r="AH194">
        <v>12080</v>
      </c>
    </row>
    <row r="195" spans="4:40" x14ac:dyDescent="0.25">
      <c r="D195" s="30">
        <v>45955</v>
      </c>
      <c r="E195">
        <v>9.01</v>
      </c>
      <c r="F195">
        <v>66</v>
      </c>
      <c r="G195">
        <f t="shared" si="35"/>
        <v>594.66</v>
      </c>
      <c r="I195">
        <v>9.01</v>
      </c>
      <c r="J195">
        <v>111</v>
      </c>
      <c r="K195">
        <f t="shared" si="33"/>
        <v>1000.11</v>
      </c>
      <c r="M195">
        <v>9.4</v>
      </c>
      <c r="N195">
        <v>47</v>
      </c>
      <c r="O195">
        <f t="shared" si="34"/>
        <v>441.8</v>
      </c>
      <c r="Q195">
        <v>9.35</v>
      </c>
      <c r="R195">
        <v>70</v>
      </c>
      <c r="S195">
        <f t="shared" si="36"/>
        <v>654.5</v>
      </c>
      <c r="W195" s="7">
        <v>9.43</v>
      </c>
      <c r="X195">
        <v>64</v>
      </c>
      <c r="Y195">
        <f t="shared" si="37"/>
        <v>603.52</v>
      </c>
      <c r="AA195">
        <v>9.4</v>
      </c>
      <c r="AB195" s="12">
        <v>24.509803921568629</v>
      </c>
      <c r="AC195" s="7">
        <f t="shared" si="38"/>
        <v>230.39215686274511</v>
      </c>
      <c r="AD195" s="7"/>
      <c r="AE195" s="7"/>
      <c r="AG195" s="58">
        <f t="shared" si="39"/>
        <v>3524.9821568627449</v>
      </c>
      <c r="AH195">
        <v>9635</v>
      </c>
    </row>
    <row r="196" spans="4:40" x14ac:dyDescent="0.25">
      <c r="D196" s="48">
        <v>45956</v>
      </c>
      <c r="E196">
        <v>0</v>
      </c>
      <c r="F196">
        <v>66</v>
      </c>
      <c r="G196">
        <f t="shared" si="35"/>
        <v>0</v>
      </c>
      <c r="I196">
        <v>9.0500000000000007</v>
      </c>
      <c r="J196">
        <v>111</v>
      </c>
      <c r="K196">
        <f t="shared" si="33"/>
        <v>1004.5500000000001</v>
      </c>
      <c r="M196">
        <v>0</v>
      </c>
      <c r="N196">
        <v>47</v>
      </c>
      <c r="O196">
        <f t="shared" si="34"/>
        <v>0</v>
      </c>
      <c r="Q196">
        <v>0</v>
      </c>
      <c r="R196">
        <v>70</v>
      </c>
      <c r="S196">
        <f t="shared" si="36"/>
        <v>0</v>
      </c>
      <c r="W196" s="7">
        <v>0</v>
      </c>
      <c r="X196">
        <v>64</v>
      </c>
      <c r="Y196">
        <f t="shared" si="37"/>
        <v>0</v>
      </c>
      <c r="AA196">
        <v>0</v>
      </c>
      <c r="AB196" s="12">
        <v>24.509803921568629</v>
      </c>
      <c r="AC196" s="7">
        <f t="shared" si="38"/>
        <v>0</v>
      </c>
      <c r="AD196" s="7"/>
      <c r="AE196" s="7"/>
      <c r="AG196" s="58">
        <f t="shared" si="39"/>
        <v>1004.5500000000001</v>
      </c>
      <c r="AH196">
        <v>0</v>
      </c>
    </row>
    <row r="197" spans="4:40" x14ac:dyDescent="0.25">
      <c r="D197" s="30">
        <v>45957</v>
      </c>
      <c r="E197">
        <v>9.06</v>
      </c>
      <c r="F197">
        <v>66</v>
      </c>
      <c r="G197">
        <f t="shared" si="35"/>
        <v>597.96</v>
      </c>
      <c r="I197">
        <v>9.36</v>
      </c>
      <c r="J197">
        <v>111</v>
      </c>
      <c r="K197">
        <f t="shared" si="33"/>
        <v>1038.96</v>
      </c>
      <c r="M197">
        <v>9.36</v>
      </c>
      <c r="N197">
        <v>47</v>
      </c>
      <c r="O197">
        <f t="shared" si="34"/>
        <v>439.91999999999996</v>
      </c>
      <c r="Q197">
        <v>0.4</v>
      </c>
      <c r="R197">
        <v>70</v>
      </c>
      <c r="S197">
        <f t="shared" si="36"/>
        <v>28</v>
      </c>
      <c r="W197" s="7">
        <v>9.3699999999999992</v>
      </c>
      <c r="X197">
        <v>64</v>
      </c>
      <c r="Y197">
        <f t="shared" si="37"/>
        <v>599.67999999999995</v>
      </c>
      <c r="AA197">
        <v>9.2799999999999994</v>
      </c>
      <c r="AB197" s="12">
        <v>24.509803921568629</v>
      </c>
      <c r="AC197" s="7">
        <f t="shared" si="38"/>
        <v>227.45098039215685</v>
      </c>
      <c r="AD197" s="7"/>
      <c r="AE197" s="7"/>
      <c r="AG197" s="58">
        <f t="shared" si="39"/>
        <v>2931.9709803921569</v>
      </c>
      <c r="AH197">
        <v>10282.5</v>
      </c>
    </row>
    <row r="198" spans="4:40" x14ac:dyDescent="0.25">
      <c r="D198" s="30">
        <v>45958</v>
      </c>
      <c r="E198">
        <v>9.35</v>
      </c>
      <c r="F198">
        <v>66</v>
      </c>
      <c r="G198">
        <f t="shared" si="35"/>
        <v>617.1</v>
      </c>
      <c r="I198">
        <v>9.2200000000000006</v>
      </c>
      <c r="J198">
        <v>111</v>
      </c>
      <c r="K198">
        <f t="shared" si="33"/>
        <v>1023.4200000000001</v>
      </c>
      <c r="M198">
        <v>9.56</v>
      </c>
      <c r="N198">
        <v>47</v>
      </c>
      <c r="O198">
        <f t="shared" si="34"/>
        <v>449.32000000000005</v>
      </c>
      <c r="Q198">
        <v>9.34</v>
      </c>
      <c r="R198">
        <v>70</v>
      </c>
      <c r="S198">
        <f t="shared" si="36"/>
        <v>653.79999999999995</v>
      </c>
      <c r="W198" s="7">
        <v>12.18</v>
      </c>
      <c r="X198">
        <v>64</v>
      </c>
      <c r="Y198">
        <f t="shared" si="37"/>
        <v>779.52</v>
      </c>
      <c r="AA198">
        <v>12.17</v>
      </c>
      <c r="AB198" s="12">
        <v>24.509803921568629</v>
      </c>
      <c r="AC198" s="7">
        <f t="shared" si="38"/>
        <v>298.28431372549022</v>
      </c>
      <c r="AD198" s="7"/>
      <c r="AE198" s="7"/>
      <c r="AG198" s="58">
        <f t="shared" si="39"/>
        <v>3821.4443137254907</v>
      </c>
      <c r="AH198">
        <v>12300</v>
      </c>
    </row>
    <row r="199" spans="4:40" x14ac:dyDescent="0.25">
      <c r="D199" s="30">
        <v>45959</v>
      </c>
      <c r="E199">
        <v>9.24</v>
      </c>
      <c r="F199">
        <v>66</v>
      </c>
      <c r="G199">
        <f t="shared" si="35"/>
        <v>609.84</v>
      </c>
      <c r="I199">
        <v>9.36</v>
      </c>
      <c r="J199">
        <v>111</v>
      </c>
      <c r="K199">
        <f t="shared" si="33"/>
        <v>1038.96</v>
      </c>
      <c r="M199">
        <v>12.08</v>
      </c>
      <c r="N199">
        <v>47</v>
      </c>
      <c r="O199">
        <f t="shared" si="34"/>
        <v>567.76</v>
      </c>
      <c r="Q199">
        <v>9.39</v>
      </c>
      <c r="R199">
        <v>70</v>
      </c>
      <c r="S199">
        <f t="shared" si="36"/>
        <v>657.30000000000007</v>
      </c>
      <c r="W199" s="7">
        <v>12.12</v>
      </c>
      <c r="X199">
        <v>64</v>
      </c>
      <c r="Y199">
        <f t="shared" si="37"/>
        <v>775.68</v>
      </c>
      <c r="AA199">
        <v>12.08</v>
      </c>
      <c r="AB199" s="12">
        <v>24.509803921568629</v>
      </c>
      <c r="AC199" s="7">
        <f t="shared" si="38"/>
        <v>296.07843137254906</v>
      </c>
      <c r="AD199" s="7"/>
      <c r="AE199" s="7"/>
      <c r="AG199" s="58">
        <f t="shared" si="39"/>
        <v>3945.6184313725494</v>
      </c>
      <c r="AH199">
        <v>13415.3125</v>
      </c>
      <c r="AL199" t="s">
        <v>5</v>
      </c>
      <c r="AM199" t="s">
        <v>5</v>
      </c>
      <c r="AN199" t="s">
        <v>5</v>
      </c>
    </row>
    <row r="200" spans="4:40" x14ac:dyDescent="0.25">
      <c r="D200" s="30">
        <v>45960</v>
      </c>
      <c r="E200">
        <v>9.18</v>
      </c>
      <c r="F200">
        <v>66</v>
      </c>
      <c r="G200">
        <f t="shared" si="35"/>
        <v>605.88</v>
      </c>
      <c r="I200">
        <v>9.1199999999999992</v>
      </c>
      <c r="J200">
        <v>111</v>
      </c>
      <c r="K200">
        <f t="shared" si="33"/>
        <v>1012.3199999999999</v>
      </c>
      <c r="M200">
        <v>9.4499999999999993</v>
      </c>
      <c r="N200">
        <v>47</v>
      </c>
      <c r="O200">
        <f t="shared" si="34"/>
        <v>444.15</v>
      </c>
      <c r="Q200">
        <v>9.42</v>
      </c>
      <c r="R200">
        <v>70</v>
      </c>
      <c r="S200">
        <f t="shared" si="36"/>
        <v>659.4</v>
      </c>
      <c r="W200" s="7">
        <v>9.48</v>
      </c>
      <c r="X200">
        <v>64</v>
      </c>
      <c r="Y200">
        <f t="shared" si="37"/>
        <v>606.72</v>
      </c>
      <c r="AA200">
        <v>9.48</v>
      </c>
      <c r="AB200" s="12">
        <v>24.509803921568629</v>
      </c>
      <c r="AC200" s="7">
        <f t="shared" si="38"/>
        <v>232.35294117647061</v>
      </c>
      <c r="AD200" s="7"/>
      <c r="AE200" s="7"/>
      <c r="AG200" s="58">
        <f t="shared" si="39"/>
        <v>3560.822941176471</v>
      </c>
      <c r="AH200">
        <v>12639.125</v>
      </c>
      <c r="AJ200" t="s">
        <v>5</v>
      </c>
    </row>
    <row r="201" spans="4:40" x14ac:dyDescent="0.25">
      <c r="D201" s="30">
        <v>45961</v>
      </c>
      <c r="E201">
        <v>11.42</v>
      </c>
      <c r="F201">
        <v>66</v>
      </c>
      <c r="G201">
        <f t="shared" ref="G201" si="40">+E201*F201</f>
        <v>753.72</v>
      </c>
      <c r="I201">
        <v>11.41</v>
      </c>
      <c r="J201">
        <v>111</v>
      </c>
      <c r="K201">
        <f t="shared" ref="K201" si="41">+I201*J201</f>
        <v>1266.51</v>
      </c>
      <c r="M201">
        <v>12.11</v>
      </c>
      <c r="N201">
        <v>47</v>
      </c>
      <c r="O201">
        <f t="shared" ref="O201" si="42">+M201*N201</f>
        <v>569.16999999999996</v>
      </c>
      <c r="Q201">
        <v>12.12</v>
      </c>
      <c r="R201">
        <v>70</v>
      </c>
      <c r="S201">
        <f t="shared" ref="S201" si="43">+R201*Q201</f>
        <v>848.4</v>
      </c>
      <c r="W201" s="7">
        <v>12.15</v>
      </c>
      <c r="X201">
        <v>64</v>
      </c>
      <c r="Y201">
        <f t="shared" si="37"/>
        <v>777.6</v>
      </c>
      <c r="AA201">
        <v>12.09</v>
      </c>
      <c r="AB201" s="12">
        <v>24.509803921568629</v>
      </c>
      <c r="AC201" s="7">
        <f t="shared" si="38"/>
        <v>296.3235294117647</v>
      </c>
      <c r="AD201" s="7"/>
      <c r="AE201" s="7"/>
      <c r="AG201" s="58">
        <f t="shared" si="39"/>
        <v>4511.7235294117654</v>
      </c>
      <c r="AH201">
        <v>13331</v>
      </c>
    </row>
    <row r="202" spans="4:40" x14ac:dyDescent="0.25">
      <c r="AG202" s="23">
        <f>SUM(AG171:AG201)</f>
        <v>89103.009411764739</v>
      </c>
      <c r="AH202" s="11">
        <f>SUM(AH171:AH201)</f>
        <v>409753.64750000002</v>
      </c>
      <c r="AI202" t="s">
        <v>5</v>
      </c>
      <c r="AJ202" s="23">
        <f>+AG202/AH202*100</f>
        <v>21.745507320167231</v>
      </c>
    </row>
    <row r="204" spans="4:40" x14ac:dyDescent="0.25">
      <c r="D204" s="11" t="s">
        <v>289</v>
      </c>
      <c r="E204" s="11" t="s">
        <v>121</v>
      </c>
      <c r="F204" s="11"/>
      <c r="G204" s="11"/>
      <c r="H204" s="11"/>
      <c r="I204" s="11" t="s">
        <v>122</v>
      </c>
      <c r="J204" s="11"/>
      <c r="K204" s="11"/>
      <c r="L204" s="11"/>
      <c r="M204" s="11" t="s">
        <v>123</v>
      </c>
      <c r="N204" s="11"/>
      <c r="O204" s="11"/>
      <c r="P204" s="11"/>
      <c r="Q204" s="11" t="s">
        <v>124</v>
      </c>
      <c r="R204" s="11"/>
      <c r="S204" s="11"/>
      <c r="T204" s="11"/>
      <c r="U204" s="11" t="s">
        <v>125</v>
      </c>
      <c r="V204" s="11"/>
      <c r="W204" s="11" t="s">
        <v>126</v>
      </c>
      <c r="X204" s="11"/>
      <c r="Y204" s="11"/>
      <c r="Z204" s="11"/>
      <c r="AA204" s="11" t="s">
        <v>197</v>
      </c>
      <c r="AB204" s="11"/>
      <c r="AC204" s="11"/>
      <c r="AD204" s="11"/>
      <c r="AE204" s="11"/>
      <c r="AF204" s="11"/>
      <c r="AG204" s="57" t="s">
        <v>8</v>
      </c>
      <c r="AH204" s="49" t="s">
        <v>128</v>
      </c>
    </row>
    <row r="205" spans="4:40" x14ac:dyDescent="0.25">
      <c r="D205" s="30">
        <v>45962</v>
      </c>
      <c r="E205">
        <v>11.55</v>
      </c>
      <c r="F205">
        <v>66</v>
      </c>
      <c r="G205">
        <f t="shared" ref="G205:G234" si="44">+E205*F205</f>
        <v>762.30000000000007</v>
      </c>
      <c r="I205">
        <v>10.01</v>
      </c>
      <c r="J205">
        <v>111</v>
      </c>
      <c r="K205">
        <f t="shared" ref="K205:K234" si="45">+I205*J205</f>
        <v>1111.1099999999999</v>
      </c>
      <c r="M205">
        <v>12.03</v>
      </c>
      <c r="N205">
        <v>47</v>
      </c>
      <c r="O205">
        <f t="shared" ref="O205:O234" si="46">+M205*N205</f>
        <v>565.41</v>
      </c>
      <c r="Q205">
        <v>9.41</v>
      </c>
      <c r="R205">
        <v>70</v>
      </c>
      <c r="S205">
        <f t="shared" ref="S205:S234" si="47">+Q205*R205</f>
        <v>658.7</v>
      </c>
      <c r="W205" s="7">
        <v>12.05</v>
      </c>
      <c r="X205">
        <v>64</v>
      </c>
      <c r="Y205">
        <f t="shared" ref="Y205:Y234" si="48">+W205*X205</f>
        <v>771.2</v>
      </c>
      <c r="AA205">
        <v>12.06</v>
      </c>
      <c r="AB205" s="12">
        <v>24.509803921568629</v>
      </c>
      <c r="AC205">
        <f t="shared" ref="AC205:AC220" si="49">+AA205*AB205</f>
        <v>295.58823529411768</v>
      </c>
      <c r="AG205" s="58">
        <f t="shared" ref="AG205:AG234" si="50">+G205+K205+O205+S205+U205+Y205+AC205</f>
        <v>4164.3082352941174</v>
      </c>
      <c r="AH205" s="12">
        <v>12499.375</v>
      </c>
    </row>
    <row r="206" spans="4:40" x14ac:dyDescent="0.25">
      <c r="D206" s="48">
        <v>45963</v>
      </c>
      <c r="E206">
        <v>8.0299999999999994</v>
      </c>
      <c r="F206">
        <v>66</v>
      </c>
      <c r="G206">
        <f t="shared" si="44"/>
        <v>529.9799999999999</v>
      </c>
      <c r="I206">
        <v>0</v>
      </c>
      <c r="J206">
        <v>111</v>
      </c>
      <c r="K206">
        <f t="shared" si="45"/>
        <v>0</v>
      </c>
      <c r="M206">
        <v>7.12</v>
      </c>
      <c r="N206">
        <v>47</v>
      </c>
      <c r="O206">
        <f t="shared" si="46"/>
        <v>334.64</v>
      </c>
      <c r="Q206">
        <v>7.08</v>
      </c>
      <c r="R206">
        <v>70</v>
      </c>
      <c r="S206">
        <f t="shared" si="47"/>
        <v>495.6</v>
      </c>
      <c r="W206" s="7">
        <v>7.08</v>
      </c>
      <c r="X206">
        <v>64</v>
      </c>
      <c r="Y206">
        <f t="shared" si="48"/>
        <v>453.12</v>
      </c>
      <c r="AA206">
        <v>7.04</v>
      </c>
      <c r="AB206" s="12">
        <v>24.509803921568629</v>
      </c>
      <c r="AC206">
        <f t="shared" si="49"/>
        <v>172.54901960784315</v>
      </c>
      <c r="AG206" s="58">
        <f t="shared" si="50"/>
        <v>1985.8890196078428</v>
      </c>
      <c r="AH206" s="12">
        <v>12690</v>
      </c>
    </row>
    <row r="207" spans="4:40" x14ac:dyDescent="0.25">
      <c r="D207" s="30">
        <v>45964</v>
      </c>
      <c r="E207">
        <v>9.2200000000000006</v>
      </c>
      <c r="F207">
        <v>66</v>
      </c>
      <c r="G207">
        <f t="shared" si="44"/>
        <v>608.5200000000001</v>
      </c>
      <c r="I207">
        <v>9.24</v>
      </c>
      <c r="J207">
        <v>111</v>
      </c>
      <c r="K207">
        <f t="shared" si="45"/>
        <v>1025.6400000000001</v>
      </c>
      <c r="M207">
        <v>9.44</v>
      </c>
      <c r="N207">
        <v>47</v>
      </c>
      <c r="O207">
        <f t="shared" si="46"/>
        <v>443.67999999999995</v>
      </c>
      <c r="Q207">
        <v>9.4</v>
      </c>
      <c r="R207">
        <v>70</v>
      </c>
      <c r="S207">
        <f t="shared" si="47"/>
        <v>658</v>
      </c>
      <c r="W207" s="7">
        <v>9.3800000000000008</v>
      </c>
      <c r="X207">
        <v>64</v>
      </c>
      <c r="Y207">
        <f t="shared" si="48"/>
        <v>600.32000000000005</v>
      </c>
      <c r="AA207">
        <v>9.42</v>
      </c>
      <c r="AB207" s="12">
        <v>24.509803921568629</v>
      </c>
      <c r="AC207">
        <f t="shared" si="49"/>
        <v>230.88235294117649</v>
      </c>
      <c r="AG207" s="58">
        <f t="shared" si="50"/>
        <v>3567.0423529411769</v>
      </c>
      <c r="AH207" s="12">
        <v>9733.75</v>
      </c>
    </row>
    <row r="208" spans="4:40" x14ac:dyDescent="0.25">
      <c r="D208" s="30">
        <v>45965</v>
      </c>
      <c r="E208">
        <v>9.35</v>
      </c>
      <c r="F208">
        <v>66</v>
      </c>
      <c r="G208">
        <f t="shared" si="44"/>
        <v>617.1</v>
      </c>
      <c r="I208">
        <v>9.35</v>
      </c>
      <c r="J208">
        <v>111</v>
      </c>
      <c r="K208">
        <f t="shared" si="45"/>
        <v>1037.8499999999999</v>
      </c>
      <c r="M208">
        <v>9.39</v>
      </c>
      <c r="N208">
        <v>47</v>
      </c>
      <c r="O208">
        <f t="shared" si="46"/>
        <v>441.33000000000004</v>
      </c>
      <c r="Q208">
        <v>9.3800000000000008</v>
      </c>
      <c r="R208">
        <v>70</v>
      </c>
      <c r="S208">
        <f t="shared" si="47"/>
        <v>656.6</v>
      </c>
      <c r="W208" s="7">
        <v>12.1</v>
      </c>
      <c r="X208">
        <v>64</v>
      </c>
      <c r="Y208">
        <f t="shared" si="48"/>
        <v>774.4</v>
      </c>
      <c r="AA208">
        <v>12.09</v>
      </c>
      <c r="AB208" s="12">
        <v>24.509803921568629</v>
      </c>
      <c r="AC208">
        <f t="shared" si="49"/>
        <v>296.3235294117647</v>
      </c>
      <c r="AG208" s="58">
        <f t="shared" si="50"/>
        <v>3823.6035294117646</v>
      </c>
      <c r="AH208" s="12">
        <v>14487.5</v>
      </c>
    </row>
    <row r="209" spans="4:34" x14ac:dyDescent="0.25">
      <c r="D209" s="30">
        <v>45966</v>
      </c>
      <c r="E209">
        <v>9.59</v>
      </c>
      <c r="F209">
        <v>66</v>
      </c>
      <c r="G209">
        <f t="shared" si="44"/>
        <v>632.93999999999994</v>
      </c>
      <c r="I209">
        <v>10</v>
      </c>
      <c r="J209">
        <v>111</v>
      </c>
      <c r="K209">
        <f t="shared" si="45"/>
        <v>1110</v>
      </c>
      <c r="M209">
        <v>9.4</v>
      </c>
      <c r="N209">
        <v>47</v>
      </c>
      <c r="O209">
        <f t="shared" si="46"/>
        <v>441.8</v>
      </c>
      <c r="Q209">
        <v>9.35</v>
      </c>
      <c r="R209">
        <v>70</v>
      </c>
      <c r="S209">
        <f t="shared" si="47"/>
        <v>654.5</v>
      </c>
      <c r="W209" s="7">
        <v>9.3699999999999992</v>
      </c>
      <c r="X209">
        <v>64</v>
      </c>
      <c r="Y209">
        <f t="shared" si="48"/>
        <v>599.67999999999995</v>
      </c>
      <c r="AA209">
        <v>9.32</v>
      </c>
      <c r="AB209" s="12">
        <v>24.509803921568629</v>
      </c>
      <c r="AC209">
        <f t="shared" si="49"/>
        <v>228.43137254901964</v>
      </c>
      <c r="AG209" s="58">
        <f t="shared" si="50"/>
        <v>3667.3513725490197</v>
      </c>
      <c r="AH209" s="12">
        <v>13763.75</v>
      </c>
    </row>
    <row r="210" spans="4:34" x14ac:dyDescent="0.25">
      <c r="D210" s="30">
        <v>45967</v>
      </c>
      <c r="E210">
        <v>9.59</v>
      </c>
      <c r="F210">
        <v>66</v>
      </c>
      <c r="G210">
        <f t="shared" si="44"/>
        <v>632.93999999999994</v>
      </c>
      <c r="I210">
        <v>9.58</v>
      </c>
      <c r="J210">
        <v>111</v>
      </c>
      <c r="K210">
        <f t="shared" si="45"/>
        <v>1063.3800000000001</v>
      </c>
      <c r="M210">
        <v>10.02</v>
      </c>
      <c r="N210">
        <v>47</v>
      </c>
      <c r="O210">
        <f t="shared" si="46"/>
        <v>470.94</v>
      </c>
      <c r="Q210">
        <v>9.3800000000000008</v>
      </c>
      <c r="R210">
        <v>70</v>
      </c>
      <c r="S210">
        <f t="shared" si="47"/>
        <v>656.6</v>
      </c>
      <c r="W210" s="7">
        <v>12.11</v>
      </c>
      <c r="X210">
        <v>64</v>
      </c>
      <c r="Y210">
        <f t="shared" si="48"/>
        <v>775.04</v>
      </c>
      <c r="AA210">
        <v>12.13</v>
      </c>
      <c r="AB210" s="12">
        <v>24.509803921568629</v>
      </c>
      <c r="AC210">
        <f t="shared" si="49"/>
        <v>297.30392156862752</v>
      </c>
      <c r="AG210" s="58">
        <f t="shared" si="50"/>
        <v>3896.2039215686277</v>
      </c>
      <c r="AH210" s="12">
        <v>14320.25</v>
      </c>
    </row>
    <row r="211" spans="4:34" x14ac:dyDescent="0.25">
      <c r="D211" s="30">
        <v>45968</v>
      </c>
      <c r="E211">
        <v>9.34</v>
      </c>
      <c r="F211">
        <v>66</v>
      </c>
      <c r="G211">
        <f t="shared" si="44"/>
        <v>616.43999999999994</v>
      </c>
      <c r="I211">
        <v>9.31</v>
      </c>
      <c r="J211">
        <v>111</v>
      </c>
      <c r="K211">
        <f t="shared" si="45"/>
        <v>1033.4100000000001</v>
      </c>
      <c r="M211">
        <v>11.57</v>
      </c>
      <c r="N211">
        <v>47</v>
      </c>
      <c r="O211">
        <f t="shared" si="46"/>
        <v>543.79</v>
      </c>
      <c r="Q211">
        <v>9.3800000000000008</v>
      </c>
      <c r="R211">
        <v>70</v>
      </c>
      <c r="S211">
        <f t="shared" si="47"/>
        <v>656.6</v>
      </c>
      <c r="W211" s="7">
        <v>12.12</v>
      </c>
      <c r="X211">
        <v>64</v>
      </c>
      <c r="Y211">
        <f t="shared" si="48"/>
        <v>775.68</v>
      </c>
      <c r="AA211">
        <v>12.09</v>
      </c>
      <c r="AB211" s="12">
        <v>24.509803921568629</v>
      </c>
      <c r="AC211">
        <f t="shared" si="49"/>
        <v>296.3235294117647</v>
      </c>
      <c r="AG211" s="58">
        <f>+G211+K211+O211+S211+U211+Y211+AC211</f>
        <v>3922.2435294117645</v>
      </c>
      <c r="AH211" s="12">
        <v>14450.5</v>
      </c>
    </row>
    <row r="212" spans="4:34" x14ac:dyDescent="0.25">
      <c r="D212" s="30">
        <v>45969</v>
      </c>
      <c r="E212">
        <v>10.46</v>
      </c>
      <c r="F212">
        <v>66</v>
      </c>
      <c r="G212">
        <f t="shared" si="44"/>
        <v>690.36</v>
      </c>
      <c r="I212">
        <v>10.46</v>
      </c>
      <c r="J212">
        <v>111</v>
      </c>
      <c r="K212">
        <f t="shared" si="45"/>
        <v>1161.0600000000002</v>
      </c>
      <c r="M212">
        <v>12.03</v>
      </c>
      <c r="N212">
        <v>47</v>
      </c>
      <c r="O212">
        <f t="shared" si="46"/>
        <v>565.41</v>
      </c>
      <c r="Q212">
        <v>9.33</v>
      </c>
      <c r="R212">
        <v>70</v>
      </c>
      <c r="S212">
        <f t="shared" si="47"/>
        <v>653.1</v>
      </c>
      <c r="W212" s="7">
        <v>12.06</v>
      </c>
      <c r="X212">
        <v>64</v>
      </c>
      <c r="Y212">
        <f t="shared" si="48"/>
        <v>771.84</v>
      </c>
      <c r="AA212">
        <v>12.04</v>
      </c>
      <c r="AB212" s="12">
        <v>24.509803921568629</v>
      </c>
      <c r="AC212">
        <f t="shared" si="49"/>
        <v>295.0980392156863</v>
      </c>
      <c r="AG212" s="58">
        <f t="shared" si="50"/>
        <v>4136.8680392156866</v>
      </c>
      <c r="AH212" s="12">
        <v>14387</v>
      </c>
    </row>
    <row r="213" spans="4:34" x14ac:dyDescent="0.25">
      <c r="D213" s="48">
        <v>45970</v>
      </c>
      <c r="E213">
        <v>0</v>
      </c>
      <c r="F213">
        <v>66</v>
      </c>
      <c r="G213">
        <f t="shared" si="44"/>
        <v>0</v>
      </c>
      <c r="I213">
        <v>0</v>
      </c>
      <c r="J213">
        <v>111</v>
      </c>
      <c r="K213">
        <f t="shared" si="45"/>
        <v>0</v>
      </c>
      <c r="M213">
        <v>0</v>
      </c>
      <c r="N213">
        <v>47</v>
      </c>
      <c r="O213">
        <f t="shared" si="46"/>
        <v>0</v>
      </c>
      <c r="Q213">
        <v>0</v>
      </c>
      <c r="R213">
        <v>70</v>
      </c>
      <c r="S213">
        <f t="shared" si="47"/>
        <v>0</v>
      </c>
      <c r="W213" s="7">
        <v>0</v>
      </c>
      <c r="X213">
        <v>64</v>
      </c>
      <c r="Y213">
        <f t="shared" si="48"/>
        <v>0</v>
      </c>
      <c r="AA213">
        <v>0</v>
      </c>
      <c r="AB213" s="12">
        <v>24.509803921568629</v>
      </c>
      <c r="AC213">
        <f t="shared" si="49"/>
        <v>0</v>
      </c>
      <c r="AG213" s="58">
        <f t="shared" si="50"/>
        <v>0</v>
      </c>
      <c r="AH213" s="12">
        <v>0</v>
      </c>
    </row>
    <row r="214" spans="4:34" x14ac:dyDescent="0.25">
      <c r="D214" s="30">
        <v>45971</v>
      </c>
      <c r="E214">
        <v>9.0299999999999994</v>
      </c>
      <c r="F214">
        <v>66</v>
      </c>
      <c r="G214">
        <f t="shared" si="44"/>
        <v>595.9799999999999</v>
      </c>
      <c r="I214">
        <v>0</v>
      </c>
      <c r="J214">
        <v>111</v>
      </c>
      <c r="K214">
        <f t="shared" si="45"/>
        <v>0</v>
      </c>
      <c r="M214">
        <v>11.1</v>
      </c>
      <c r="N214">
        <v>47</v>
      </c>
      <c r="O214">
        <f t="shared" si="46"/>
        <v>521.69999999999993</v>
      </c>
      <c r="Q214">
        <v>9.06</v>
      </c>
      <c r="R214">
        <v>70</v>
      </c>
      <c r="S214">
        <f t="shared" si="47"/>
        <v>634.20000000000005</v>
      </c>
      <c r="W214" s="7">
        <v>12.05</v>
      </c>
      <c r="X214">
        <v>64</v>
      </c>
      <c r="Y214">
        <f t="shared" si="48"/>
        <v>771.2</v>
      </c>
      <c r="AA214">
        <v>12.02</v>
      </c>
      <c r="AB214" s="12">
        <v>24.509803921568629</v>
      </c>
      <c r="AC214">
        <f t="shared" si="49"/>
        <v>294.60784313725492</v>
      </c>
      <c r="AG214" s="58">
        <f t="shared" si="50"/>
        <v>2817.6878431372547</v>
      </c>
      <c r="AH214" s="12">
        <v>14205.5</v>
      </c>
    </row>
    <row r="215" spans="4:34" x14ac:dyDescent="0.25">
      <c r="D215" s="30">
        <v>45972</v>
      </c>
      <c r="E215">
        <v>9.2100000000000009</v>
      </c>
      <c r="F215">
        <v>66</v>
      </c>
      <c r="G215">
        <f t="shared" si="44"/>
        <v>607.86</v>
      </c>
      <c r="I215">
        <v>9.2100000000000009</v>
      </c>
      <c r="J215">
        <v>111</v>
      </c>
      <c r="K215">
        <f t="shared" si="45"/>
        <v>1022.3100000000001</v>
      </c>
      <c r="M215">
        <v>11.14</v>
      </c>
      <c r="N215">
        <v>47</v>
      </c>
      <c r="O215">
        <f t="shared" si="46"/>
        <v>523.58000000000004</v>
      </c>
      <c r="Q215">
        <v>9.4499999999999993</v>
      </c>
      <c r="R215">
        <v>70</v>
      </c>
      <c r="S215">
        <f t="shared" si="47"/>
        <v>661.5</v>
      </c>
      <c r="W215" s="7">
        <v>12.14</v>
      </c>
      <c r="X215">
        <v>64</v>
      </c>
      <c r="Y215">
        <f t="shared" si="48"/>
        <v>776.96</v>
      </c>
      <c r="AA215">
        <v>12.06</v>
      </c>
      <c r="AB215" s="12">
        <v>24.509803921568629</v>
      </c>
      <c r="AC215">
        <f t="shared" si="49"/>
        <v>295.58823529411768</v>
      </c>
      <c r="AG215" s="58">
        <f t="shared" si="50"/>
        <v>3887.7982352941176</v>
      </c>
      <c r="AH215" s="12">
        <v>14556.25</v>
      </c>
    </row>
    <row r="216" spans="4:34" x14ac:dyDescent="0.25">
      <c r="D216" s="30">
        <v>45973</v>
      </c>
      <c r="E216">
        <v>11.02</v>
      </c>
      <c r="F216">
        <v>66</v>
      </c>
      <c r="G216">
        <f t="shared" si="44"/>
        <v>727.31999999999994</v>
      </c>
      <c r="I216">
        <v>11.03</v>
      </c>
      <c r="J216">
        <v>111</v>
      </c>
      <c r="K216">
        <f t="shared" si="45"/>
        <v>1224.33</v>
      </c>
      <c r="M216">
        <v>9.33</v>
      </c>
      <c r="N216">
        <v>47</v>
      </c>
      <c r="O216">
        <f t="shared" si="46"/>
        <v>438.51</v>
      </c>
      <c r="Q216">
        <v>12.03</v>
      </c>
      <c r="R216">
        <v>70</v>
      </c>
      <c r="S216">
        <f t="shared" si="47"/>
        <v>842.09999999999991</v>
      </c>
      <c r="W216" s="7">
        <v>12.01</v>
      </c>
      <c r="X216">
        <v>64</v>
      </c>
      <c r="Y216">
        <f t="shared" si="48"/>
        <v>768.64</v>
      </c>
      <c r="AA216">
        <v>12</v>
      </c>
      <c r="AB216" s="12">
        <v>24.509803921568629</v>
      </c>
      <c r="AC216">
        <f t="shared" si="49"/>
        <v>294.11764705882354</v>
      </c>
      <c r="AG216" s="58">
        <f t="shared" si="50"/>
        <v>4295.0176470588231</v>
      </c>
      <c r="AH216" s="12">
        <v>16207.25</v>
      </c>
    </row>
    <row r="217" spans="4:34" x14ac:dyDescent="0.25">
      <c r="D217" s="30">
        <v>45974</v>
      </c>
      <c r="E217">
        <v>9.16</v>
      </c>
      <c r="F217">
        <v>66</v>
      </c>
      <c r="G217">
        <f t="shared" si="44"/>
        <v>604.56000000000006</v>
      </c>
      <c r="I217">
        <v>9.17</v>
      </c>
      <c r="J217">
        <v>111</v>
      </c>
      <c r="K217">
        <f t="shared" si="45"/>
        <v>1017.87</v>
      </c>
      <c r="M217">
        <v>9.3800000000000008</v>
      </c>
      <c r="N217">
        <v>47</v>
      </c>
      <c r="O217">
        <f t="shared" si="46"/>
        <v>440.86</v>
      </c>
      <c r="Q217">
        <v>9.43</v>
      </c>
      <c r="R217">
        <v>70</v>
      </c>
      <c r="S217">
        <f t="shared" si="47"/>
        <v>660.1</v>
      </c>
      <c r="W217" s="7">
        <v>9.14</v>
      </c>
      <c r="X217">
        <v>64</v>
      </c>
      <c r="Y217">
        <f t="shared" si="48"/>
        <v>584.96</v>
      </c>
      <c r="AA217">
        <v>9.3800000000000008</v>
      </c>
      <c r="AB217" s="12">
        <v>24.509803921568629</v>
      </c>
      <c r="AC217">
        <f t="shared" si="49"/>
        <v>229.90196078431376</v>
      </c>
      <c r="AG217" s="58">
        <f t="shared" si="50"/>
        <v>3538.2519607843137</v>
      </c>
      <c r="AH217" s="12">
        <v>13480</v>
      </c>
    </row>
    <row r="218" spans="4:34" x14ac:dyDescent="0.25">
      <c r="D218" s="30">
        <v>45975</v>
      </c>
      <c r="E218">
        <v>11.08</v>
      </c>
      <c r="F218">
        <v>66</v>
      </c>
      <c r="G218">
        <f t="shared" si="44"/>
        <v>731.28</v>
      </c>
      <c r="I218">
        <v>11.09</v>
      </c>
      <c r="J218">
        <v>111</v>
      </c>
      <c r="K218">
        <f t="shared" si="45"/>
        <v>1230.99</v>
      </c>
      <c r="M218">
        <v>9.3800000000000008</v>
      </c>
      <c r="N218">
        <v>47</v>
      </c>
      <c r="O218">
        <f t="shared" si="46"/>
        <v>440.86</v>
      </c>
      <c r="Q218">
        <v>9.56</v>
      </c>
      <c r="R218">
        <v>70</v>
      </c>
      <c r="S218">
        <f t="shared" si="47"/>
        <v>669.2</v>
      </c>
      <c r="W218" s="7">
        <v>12.06</v>
      </c>
      <c r="X218">
        <v>64</v>
      </c>
      <c r="Y218">
        <f t="shared" si="48"/>
        <v>771.84</v>
      </c>
      <c r="AA218">
        <v>12.03</v>
      </c>
      <c r="AB218" s="12">
        <v>24.509803921568629</v>
      </c>
      <c r="AC218">
        <f t="shared" si="49"/>
        <v>294.85294117647061</v>
      </c>
      <c r="AG218" s="58">
        <f t="shared" si="50"/>
        <v>4139.0229411764703</v>
      </c>
      <c r="AH218" s="12">
        <v>14789.125</v>
      </c>
    </row>
    <row r="219" spans="4:34" x14ac:dyDescent="0.25">
      <c r="D219" s="30">
        <v>45976</v>
      </c>
      <c r="E219">
        <v>9.58</v>
      </c>
      <c r="F219">
        <v>66</v>
      </c>
      <c r="G219">
        <f t="shared" si="44"/>
        <v>632.28</v>
      </c>
      <c r="I219">
        <v>9.59</v>
      </c>
      <c r="J219">
        <v>111</v>
      </c>
      <c r="K219">
        <f t="shared" si="45"/>
        <v>1064.49</v>
      </c>
      <c r="M219">
        <v>9.34</v>
      </c>
      <c r="N219">
        <v>47</v>
      </c>
      <c r="O219">
        <f t="shared" si="46"/>
        <v>438.98</v>
      </c>
      <c r="Q219">
        <v>9.5</v>
      </c>
      <c r="R219">
        <v>70</v>
      </c>
      <c r="S219">
        <f t="shared" si="47"/>
        <v>665</v>
      </c>
      <c r="W219" s="7">
        <v>12.12</v>
      </c>
      <c r="X219">
        <v>64</v>
      </c>
      <c r="Y219">
        <f t="shared" si="48"/>
        <v>775.68</v>
      </c>
      <c r="AA219">
        <v>12.04</v>
      </c>
      <c r="AB219" s="12">
        <v>24.509803921568629</v>
      </c>
      <c r="AC219">
        <f t="shared" si="49"/>
        <v>295.0980392156863</v>
      </c>
      <c r="AG219" s="58">
        <f t="shared" si="50"/>
        <v>3871.528039215686</v>
      </c>
      <c r="AH219" s="12">
        <v>14034.75</v>
      </c>
    </row>
    <row r="220" spans="4:34" x14ac:dyDescent="0.25">
      <c r="D220" s="48">
        <v>45977</v>
      </c>
      <c r="E220">
        <v>7.13</v>
      </c>
      <c r="F220">
        <v>66</v>
      </c>
      <c r="G220">
        <f t="shared" si="44"/>
        <v>470.58</v>
      </c>
      <c r="I220">
        <v>0</v>
      </c>
      <c r="J220">
        <v>111</v>
      </c>
      <c r="K220">
        <f t="shared" si="45"/>
        <v>0</v>
      </c>
      <c r="M220">
        <v>7.01</v>
      </c>
      <c r="N220">
        <v>47</v>
      </c>
      <c r="O220">
        <f t="shared" si="46"/>
        <v>329.46999999999997</v>
      </c>
      <c r="Q220">
        <v>7.01</v>
      </c>
      <c r="R220">
        <v>70</v>
      </c>
      <c r="S220">
        <f t="shared" si="47"/>
        <v>490.7</v>
      </c>
      <c r="W220" s="7">
        <v>7.03</v>
      </c>
      <c r="X220">
        <v>64</v>
      </c>
      <c r="Y220">
        <f t="shared" si="48"/>
        <v>449.92</v>
      </c>
      <c r="AA220">
        <v>7</v>
      </c>
      <c r="AB220" s="12">
        <v>24.509803921568629</v>
      </c>
      <c r="AC220">
        <f t="shared" si="49"/>
        <v>171.56862745098042</v>
      </c>
      <c r="AG220" s="58">
        <f t="shared" si="50"/>
        <v>1912.2386274509804</v>
      </c>
      <c r="AH220" s="12">
        <v>13109.166666666666</v>
      </c>
    </row>
    <row r="221" spans="4:34" x14ac:dyDescent="0.25">
      <c r="D221" s="30">
        <v>45978</v>
      </c>
      <c r="E221">
        <v>9.52</v>
      </c>
      <c r="F221">
        <v>66</v>
      </c>
      <c r="G221">
        <f t="shared" si="44"/>
        <v>628.31999999999994</v>
      </c>
      <c r="I221">
        <v>9.5299999999999994</v>
      </c>
      <c r="J221">
        <v>111</v>
      </c>
      <c r="K221">
        <f t="shared" si="45"/>
        <v>1057.83</v>
      </c>
      <c r="M221">
        <v>9.44</v>
      </c>
      <c r="N221">
        <v>47</v>
      </c>
      <c r="O221">
        <f t="shared" si="46"/>
        <v>443.67999999999995</v>
      </c>
      <c r="Q221">
        <v>9.4499999999999993</v>
      </c>
      <c r="R221">
        <v>70</v>
      </c>
      <c r="S221">
        <f t="shared" si="47"/>
        <v>661.5</v>
      </c>
      <c r="W221" s="7">
        <v>12.06</v>
      </c>
      <c r="X221">
        <v>64</v>
      </c>
      <c r="Y221">
        <f t="shared" si="48"/>
        <v>771.84</v>
      </c>
      <c r="AA221">
        <v>12.04</v>
      </c>
      <c r="AB221" s="12">
        <v>24.509803921568629</v>
      </c>
      <c r="AC221">
        <f t="shared" ref="AC221:AC234" si="51">+AA221*AB221</f>
        <v>295.0980392156863</v>
      </c>
      <c r="AG221" s="58">
        <f t="shared" si="50"/>
        <v>3858.2680392156863</v>
      </c>
      <c r="AH221" s="12">
        <v>14023.75</v>
      </c>
    </row>
    <row r="222" spans="4:34" x14ac:dyDescent="0.25">
      <c r="D222" s="30">
        <v>45979</v>
      </c>
      <c r="E222">
        <v>10.119999999999999</v>
      </c>
      <c r="F222">
        <v>66</v>
      </c>
      <c r="G222">
        <f t="shared" si="44"/>
        <v>667.92</v>
      </c>
      <c r="I222">
        <v>9.23</v>
      </c>
      <c r="J222">
        <v>111</v>
      </c>
      <c r="K222">
        <f t="shared" si="45"/>
        <v>1024.53</v>
      </c>
      <c r="M222">
        <v>9.3800000000000008</v>
      </c>
      <c r="N222">
        <v>47</v>
      </c>
      <c r="O222">
        <f t="shared" si="46"/>
        <v>440.86</v>
      </c>
      <c r="Q222">
        <v>0</v>
      </c>
      <c r="R222">
        <v>70</v>
      </c>
      <c r="S222">
        <f t="shared" si="47"/>
        <v>0</v>
      </c>
      <c r="W222" s="7">
        <v>9.43</v>
      </c>
      <c r="X222">
        <v>64</v>
      </c>
      <c r="Y222">
        <f t="shared" si="48"/>
        <v>603.52</v>
      </c>
      <c r="AA222">
        <v>9.3800000000000008</v>
      </c>
      <c r="AB222" s="12">
        <v>24.509803921568629</v>
      </c>
      <c r="AC222">
        <f t="shared" si="51"/>
        <v>229.90196078431376</v>
      </c>
      <c r="AG222" s="58">
        <f t="shared" si="50"/>
        <v>2966.7319607843137</v>
      </c>
      <c r="AH222" s="12">
        <v>13757.5</v>
      </c>
    </row>
    <row r="223" spans="4:34" x14ac:dyDescent="0.25">
      <c r="D223" s="30">
        <v>45980</v>
      </c>
      <c r="E223">
        <v>10.54</v>
      </c>
      <c r="F223">
        <v>66</v>
      </c>
      <c r="G223">
        <f t="shared" si="44"/>
        <v>695.64</v>
      </c>
      <c r="I223">
        <v>10.210000000000001</v>
      </c>
      <c r="J223">
        <v>111</v>
      </c>
      <c r="K223">
        <f t="shared" si="45"/>
        <v>1133.3100000000002</v>
      </c>
      <c r="M223">
        <v>9.41</v>
      </c>
      <c r="N223">
        <v>47</v>
      </c>
      <c r="O223">
        <f t="shared" si="46"/>
        <v>442.27</v>
      </c>
      <c r="Q223">
        <v>9.4499999999999993</v>
      </c>
      <c r="R223">
        <v>70</v>
      </c>
      <c r="S223">
        <f t="shared" si="47"/>
        <v>661.5</v>
      </c>
      <c r="W223" s="7">
        <v>12.05</v>
      </c>
      <c r="X223">
        <v>64</v>
      </c>
      <c r="Y223">
        <f t="shared" si="48"/>
        <v>771.2</v>
      </c>
      <c r="AA223">
        <v>12.06</v>
      </c>
      <c r="AB223" s="12">
        <v>24.509803921568629</v>
      </c>
      <c r="AC223">
        <f t="shared" si="51"/>
        <v>295.58823529411768</v>
      </c>
      <c r="AG223" s="58">
        <f t="shared" si="50"/>
        <v>3999.5082352941176</v>
      </c>
      <c r="AH223" s="12">
        <v>16581.125</v>
      </c>
    </row>
    <row r="224" spans="4:34" x14ac:dyDescent="0.25">
      <c r="D224" s="30">
        <v>45981</v>
      </c>
      <c r="E224">
        <v>10.24</v>
      </c>
      <c r="F224">
        <v>66</v>
      </c>
      <c r="G224">
        <f t="shared" si="44"/>
        <v>675.84</v>
      </c>
      <c r="I224">
        <v>10.15</v>
      </c>
      <c r="J224">
        <v>111</v>
      </c>
      <c r="K224">
        <f t="shared" si="45"/>
        <v>1126.6500000000001</v>
      </c>
      <c r="M224">
        <v>9.4</v>
      </c>
      <c r="N224">
        <v>47</v>
      </c>
      <c r="O224">
        <f t="shared" si="46"/>
        <v>441.8</v>
      </c>
      <c r="Q224">
        <v>9.31</v>
      </c>
      <c r="R224">
        <v>70</v>
      </c>
      <c r="S224">
        <f t="shared" si="47"/>
        <v>651.70000000000005</v>
      </c>
      <c r="W224" s="7">
        <v>12.1</v>
      </c>
      <c r="X224">
        <v>64</v>
      </c>
      <c r="Y224">
        <f t="shared" si="48"/>
        <v>774.4</v>
      </c>
      <c r="AA224">
        <v>11.56</v>
      </c>
      <c r="AB224" s="12">
        <v>24.509803921568629</v>
      </c>
      <c r="AC224">
        <f t="shared" si="51"/>
        <v>283.33333333333337</v>
      </c>
      <c r="AG224" s="58">
        <f t="shared" si="50"/>
        <v>3953.7233333333343</v>
      </c>
      <c r="AH224" s="12">
        <v>16187</v>
      </c>
    </row>
    <row r="225" spans="4:38" x14ac:dyDescent="0.25">
      <c r="D225" s="30">
        <v>45982</v>
      </c>
      <c r="E225">
        <v>9.5399999999999991</v>
      </c>
      <c r="F225">
        <v>66</v>
      </c>
      <c r="G225">
        <f t="shared" si="44"/>
        <v>629.64</v>
      </c>
      <c r="I225">
        <v>9.5399999999999991</v>
      </c>
      <c r="J225">
        <v>111</v>
      </c>
      <c r="K225">
        <f t="shared" si="45"/>
        <v>1058.9399999999998</v>
      </c>
      <c r="M225">
        <v>9.41</v>
      </c>
      <c r="N225">
        <v>47</v>
      </c>
      <c r="O225">
        <f t="shared" si="46"/>
        <v>442.27</v>
      </c>
      <c r="Q225">
        <v>9.44</v>
      </c>
      <c r="R225">
        <v>70</v>
      </c>
      <c r="S225">
        <f t="shared" si="47"/>
        <v>660.8</v>
      </c>
      <c r="W225" s="7">
        <v>9.35</v>
      </c>
      <c r="X225">
        <v>64</v>
      </c>
      <c r="Y225">
        <f t="shared" si="48"/>
        <v>598.4</v>
      </c>
      <c r="AA225">
        <v>9.2100000000000009</v>
      </c>
      <c r="AB225" s="12">
        <v>24.509803921568629</v>
      </c>
      <c r="AC225">
        <f t="shared" si="51"/>
        <v>225.7352941176471</v>
      </c>
      <c r="AG225" s="58">
        <f t="shared" si="50"/>
        <v>3615.785294117647</v>
      </c>
      <c r="AH225" s="12">
        <v>13614.375</v>
      </c>
    </row>
    <row r="226" spans="4:38" x14ac:dyDescent="0.25">
      <c r="D226" s="30">
        <v>45983</v>
      </c>
      <c r="E226">
        <v>9.42</v>
      </c>
      <c r="F226">
        <v>66</v>
      </c>
      <c r="G226">
        <f t="shared" si="44"/>
        <v>621.72</v>
      </c>
      <c r="I226">
        <v>6.25</v>
      </c>
      <c r="J226">
        <v>111</v>
      </c>
      <c r="K226">
        <f t="shared" si="45"/>
        <v>693.75</v>
      </c>
      <c r="M226">
        <v>9.35</v>
      </c>
      <c r="N226">
        <v>47</v>
      </c>
      <c r="O226">
        <f t="shared" si="46"/>
        <v>439.45</v>
      </c>
      <c r="Q226">
        <v>9.51</v>
      </c>
      <c r="R226">
        <v>70</v>
      </c>
      <c r="S226">
        <f t="shared" si="47"/>
        <v>665.69999999999993</v>
      </c>
      <c r="W226" s="7">
        <v>9.3699999999999992</v>
      </c>
      <c r="X226">
        <v>64</v>
      </c>
      <c r="Y226">
        <f t="shared" si="48"/>
        <v>599.67999999999995</v>
      </c>
      <c r="AA226">
        <v>5.3</v>
      </c>
      <c r="AB226" s="12">
        <v>24.509803921568629</v>
      </c>
      <c r="AC226">
        <f t="shared" si="51"/>
        <v>129.90196078431373</v>
      </c>
      <c r="AG226" s="58">
        <f t="shared" si="50"/>
        <v>3150.2019607843135</v>
      </c>
      <c r="AH226" s="12">
        <v>12908.125</v>
      </c>
    </row>
    <row r="227" spans="4:38" x14ac:dyDescent="0.25">
      <c r="D227" s="48">
        <v>45984</v>
      </c>
      <c r="E227">
        <v>0</v>
      </c>
      <c r="F227">
        <v>66</v>
      </c>
      <c r="G227">
        <f t="shared" si="44"/>
        <v>0</v>
      </c>
      <c r="I227">
        <v>0</v>
      </c>
      <c r="J227">
        <v>111</v>
      </c>
      <c r="K227">
        <f t="shared" si="45"/>
        <v>0</v>
      </c>
      <c r="M227">
        <v>0</v>
      </c>
      <c r="N227">
        <v>47</v>
      </c>
      <c r="O227">
        <f t="shared" si="46"/>
        <v>0</v>
      </c>
      <c r="Q227">
        <v>0</v>
      </c>
      <c r="R227">
        <v>70</v>
      </c>
      <c r="S227">
        <f t="shared" si="47"/>
        <v>0</v>
      </c>
      <c r="W227" s="7">
        <v>0</v>
      </c>
      <c r="X227">
        <v>64</v>
      </c>
      <c r="Y227">
        <f t="shared" si="48"/>
        <v>0</v>
      </c>
      <c r="AA227">
        <v>0</v>
      </c>
      <c r="AB227" s="12">
        <v>24.509803921568629</v>
      </c>
      <c r="AC227">
        <f t="shared" si="51"/>
        <v>0</v>
      </c>
      <c r="AG227" s="58">
        <f t="shared" si="50"/>
        <v>0</v>
      </c>
      <c r="AH227" s="12">
        <v>0</v>
      </c>
    </row>
    <row r="228" spans="4:38" x14ac:dyDescent="0.25">
      <c r="D228" s="30">
        <v>45985</v>
      </c>
      <c r="E228">
        <v>11.15</v>
      </c>
      <c r="F228">
        <v>66</v>
      </c>
      <c r="G228">
        <f t="shared" si="44"/>
        <v>735.9</v>
      </c>
      <c r="I228">
        <v>8.27</v>
      </c>
      <c r="J228">
        <v>111</v>
      </c>
      <c r="K228">
        <f t="shared" si="45"/>
        <v>917.96999999999991</v>
      </c>
      <c r="M228">
        <v>9.41</v>
      </c>
      <c r="N228">
        <v>47</v>
      </c>
      <c r="O228">
        <f t="shared" si="46"/>
        <v>442.27</v>
      </c>
      <c r="Q228">
        <v>9.33</v>
      </c>
      <c r="R228">
        <v>70</v>
      </c>
      <c r="S228">
        <f t="shared" si="47"/>
        <v>653.1</v>
      </c>
      <c r="W228" s="7">
        <v>12.12</v>
      </c>
      <c r="X228">
        <v>64</v>
      </c>
      <c r="Y228">
        <f t="shared" si="48"/>
        <v>775.68</v>
      </c>
      <c r="AA228">
        <v>0</v>
      </c>
      <c r="AB228" s="12">
        <v>24.509803921568629</v>
      </c>
      <c r="AC228">
        <f t="shared" si="51"/>
        <v>0</v>
      </c>
      <c r="AG228" s="58">
        <f t="shared" si="50"/>
        <v>3524.9199999999996</v>
      </c>
      <c r="AH228" s="12">
        <v>14891.25</v>
      </c>
    </row>
    <row r="229" spans="4:38" x14ac:dyDescent="0.25">
      <c r="D229" s="30">
        <v>45986</v>
      </c>
      <c r="E229">
        <v>8.2899999999999991</v>
      </c>
      <c r="F229">
        <v>66</v>
      </c>
      <c r="G229">
        <f t="shared" si="44"/>
        <v>547.14</v>
      </c>
      <c r="I229">
        <v>9.3000000000000007</v>
      </c>
      <c r="J229">
        <v>111</v>
      </c>
      <c r="K229">
        <f t="shared" si="45"/>
        <v>1032.3000000000002</v>
      </c>
      <c r="M229">
        <v>9.31</v>
      </c>
      <c r="N229">
        <v>47</v>
      </c>
      <c r="O229">
        <f t="shared" si="46"/>
        <v>437.57000000000005</v>
      </c>
      <c r="Q229">
        <v>9.34</v>
      </c>
      <c r="R229">
        <v>70</v>
      </c>
      <c r="S229">
        <f t="shared" si="47"/>
        <v>653.79999999999995</v>
      </c>
      <c r="W229" s="7">
        <v>12.09</v>
      </c>
      <c r="X229">
        <v>64</v>
      </c>
      <c r="Y229">
        <f t="shared" si="48"/>
        <v>773.76</v>
      </c>
      <c r="AA229">
        <v>0</v>
      </c>
      <c r="AB229" s="12">
        <v>24.509803921568629</v>
      </c>
      <c r="AC229">
        <f t="shared" si="51"/>
        <v>0</v>
      </c>
      <c r="AG229" s="58">
        <f t="shared" si="50"/>
        <v>3444.5700000000006</v>
      </c>
      <c r="AH229" s="12">
        <v>16455.125</v>
      </c>
      <c r="AI229" t="s">
        <v>5</v>
      </c>
      <c r="AJ229" s="7" t="s">
        <v>5</v>
      </c>
      <c r="AK229" s="12" t="s">
        <v>5</v>
      </c>
      <c r="AL229" t="s">
        <v>5</v>
      </c>
    </row>
    <row r="230" spans="4:38" x14ac:dyDescent="0.25">
      <c r="D230" s="30">
        <v>45987</v>
      </c>
      <c r="E230">
        <v>12.2</v>
      </c>
      <c r="F230">
        <v>66</v>
      </c>
      <c r="G230">
        <f t="shared" si="44"/>
        <v>805.19999999999993</v>
      </c>
      <c r="I230">
        <v>11.56</v>
      </c>
      <c r="J230">
        <v>111</v>
      </c>
      <c r="K230">
        <f t="shared" si="45"/>
        <v>1283.1600000000001</v>
      </c>
      <c r="M230">
        <v>10.06</v>
      </c>
      <c r="N230">
        <v>47</v>
      </c>
      <c r="O230">
        <f t="shared" si="46"/>
        <v>472.82000000000005</v>
      </c>
      <c r="Q230">
        <v>9.4600000000000009</v>
      </c>
      <c r="R230">
        <v>70</v>
      </c>
      <c r="S230">
        <f t="shared" si="47"/>
        <v>662.2</v>
      </c>
      <c r="W230" s="7">
        <v>12.1</v>
      </c>
      <c r="X230">
        <v>64</v>
      </c>
      <c r="Y230">
        <f t="shared" si="48"/>
        <v>774.4</v>
      </c>
      <c r="AB230" s="12">
        <v>24.509803921568629</v>
      </c>
      <c r="AC230">
        <f t="shared" si="51"/>
        <v>0</v>
      </c>
      <c r="AG230" s="58">
        <f t="shared" si="50"/>
        <v>3997.78</v>
      </c>
    </row>
    <row r="231" spans="4:38" x14ac:dyDescent="0.25">
      <c r="D231" s="30">
        <v>45988</v>
      </c>
      <c r="E231">
        <v>10.43</v>
      </c>
      <c r="F231">
        <v>66</v>
      </c>
      <c r="G231">
        <f t="shared" si="44"/>
        <v>688.38</v>
      </c>
      <c r="I231">
        <v>10.44</v>
      </c>
      <c r="J231">
        <v>111</v>
      </c>
      <c r="K231">
        <f t="shared" si="45"/>
        <v>1158.8399999999999</v>
      </c>
      <c r="M231">
        <v>9.4600000000000009</v>
      </c>
      <c r="N231">
        <v>47</v>
      </c>
      <c r="O231">
        <f t="shared" si="46"/>
        <v>444.62000000000006</v>
      </c>
      <c r="Q231">
        <v>9.39</v>
      </c>
      <c r="R231">
        <v>70</v>
      </c>
      <c r="S231">
        <f t="shared" si="47"/>
        <v>657.30000000000007</v>
      </c>
      <c r="W231" s="7">
        <v>12.05</v>
      </c>
      <c r="X231">
        <v>64</v>
      </c>
      <c r="Y231">
        <f t="shared" si="48"/>
        <v>771.2</v>
      </c>
      <c r="AB231" s="12">
        <v>24.509803921568629</v>
      </c>
      <c r="AC231">
        <f t="shared" si="51"/>
        <v>0</v>
      </c>
      <c r="AG231" s="58">
        <f t="shared" si="50"/>
        <v>3720.34</v>
      </c>
    </row>
    <row r="232" spans="4:38" x14ac:dyDescent="0.25">
      <c r="D232" s="30">
        <v>45989</v>
      </c>
      <c r="E232">
        <v>12.18</v>
      </c>
      <c r="F232">
        <v>66</v>
      </c>
      <c r="G232">
        <f t="shared" si="44"/>
        <v>803.88</v>
      </c>
      <c r="I232">
        <v>11.33</v>
      </c>
      <c r="J232">
        <v>111</v>
      </c>
      <c r="K232">
        <f t="shared" si="45"/>
        <v>1257.6300000000001</v>
      </c>
      <c r="M232">
        <v>12.15</v>
      </c>
      <c r="N232">
        <v>47</v>
      </c>
      <c r="O232">
        <f t="shared" si="46"/>
        <v>571.05000000000007</v>
      </c>
      <c r="Q232">
        <v>12.04</v>
      </c>
      <c r="R232">
        <v>70</v>
      </c>
      <c r="S232">
        <f t="shared" si="47"/>
        <v>842.8</v>
      </c>
      <c r="W232" s="7">
        <v>12.06</v>
      </c>
      <c r="X232">
        <v>64</v>
      </c>
      <c r="Y232">
        <f t="shared" si="48"/>
        <v>771.84</v>
      </c>
      <c r="AB232" s="12">
        <v>24.509803921568629</v>
      </c>
      <c r="AC232">
        <f t="shared" si="51"/>
        <v>0</v>
      </c>
      <c r="AG232" s="58">
        <f t="shared" si="50"/>
        <v>4247.2000000000007</v>
      </c>
    </row>
    <row r="233" spans="4:38" x14ac:dyDescent="0.25">
      <c r="D233" s="30">
        <v>45990</v>
      </c>
      <c r="E233">
        <v>0</v>
      </c>
      <c r="F233">
        <v>66</v>
      </c>
      <c r="G233">
        <f t="shared" si="44"/>
        <v>0</v>
      </c>
      <c r="J233">
        <v>111</v>
      </c>
      <c r="K233">
        <f t="shared" si="45"/>
        <v>0</v>
      </c>
      <c r="N233">
        <v>47</v>
      </c>
      <c r="O233">
        <f t="shared" si="46"/>
        <v>0</v>
      </c>
      <c r="Q233">
        <v>0</v>
      </c>
      <c r="R233">
        <v>70</v>
      </c>
      <c r="S233">
        <f t="shared" si="47"/>
        <v>0</v>
      </c>
      <c r="W233" s="7">
        <v>0</v>
      </c>
      <c r="X233">
        <v>64</v>
      </c>
      <c r="Y233">
        <f t="shared" si="48"/>
        <v>0</v>
      </c>
      <c r="AB233" s="12">
        <v>24.509803921568629</v>
      </c>
      <c r="AC233">
        <f t="shared" si="51"/>
        <v>0</v>
      </c>
      <c r="AG233" s="58">
        <f t="shared" si="50"/>
        <v>0</v>
      </c>
    </row>
    <row r="234" spans="4:38" x14ac:dyDescent="0.25">
      <c r="D234" s="48">
        <v>45991</v>
      </c>
      <c r="E234">
        <v>0</v>
      </c>
      <c r="F234">
        <v>66</v>
      </c>
      <c r="G234">
        <f t="shared" si="44"/>
        <v>0</v>
      </c>
      <c r="J234">
        <v>111</v>
      </c>
      <c r="K234">
        <f t="shared" si="45"/>
        <v>0</v>
      </c>
      <c r="N234">
        <v>47</v>
      </c>
      <c r="O234">
        <f t="shared" si="46"/>
        <v>0</v>
      </c>
      <c r="Q234">
        <v>0</v>
      </c>
      <c r="R234">
        <v>70</v>
      </c>
      <c r="S234">
        <f t="shared" si="47"/>
        <v>0</v>
      </c>
      <c r="W234" s="12">
        <v>0</v>
      </c>
      <c r="X234">
        <v>64</v>
      </c>
      <c r="Y234">
        <f t="shared" si="48"/>
        <v>0</v>
      </c>
      <c r="AB234" s="12">
        <v>24.509803921568629</v>
      </c>
      <c r="AC234">
        <f t="shared" si="51"/>
        <v>0</v>
      </c>
      <c r="AG234" s="58">
        <f t="shared" si="50"/>
        <v>0</v>
      </c>
    </row>
    <row r="235" spans="4:38" x14ac:dyDescent="0.25">
      <c r="E235">
        <v>0</v>
      </c>
      <c r="Q235" t="s">
        <v>5</v>
      </c>
      <c r="W235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2AF8-00EC-4894-90AA-3156E007D3B8}">
  <dimension ref="A1:AD31"/>
  <sheetViews>
    <sheetView topLeftCell="A14" workbookViewId="0">
      <selection activeCell="I30" sqref="I30"/>
    </sheetView>
  </sheetViews>
  <sheetFormatPr defaultRowHeight="15" x14ac:dyDescent="0.25"/>
  <cols>
    <col min="3" max="3" width="4.85546875" bestFit="1" customWidth="1"/>
    <col min="4" max="10" width="16.7109375" customWidth="1"/>
    <col min="11" max="25" width="4.85546875" bestFit="1" customWidth="1"/>
  </cols>
  <sheetData>
    <row r="1" spans="1:30" s="42" customFormat="1" ht="15.75" thickBot="1" x14ac:dyDescent="0.3">
      <c r="A1" s="59" t="s">
        <v>130</v>
      </c>
      <c r="B1" s="59"/>
      <c r="C1" s="59"/>
      <c r="D1" s="60" t="s">
        <v>131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40"/>
      <c r="Z1" s="60"/>
      <c r="AA1" s="60"/>
      <c r="AB1" s="41"/>
      <c r="AC1" s="41"/>
      <c r="AD1" s="41"/>
    </row>
    <row r="2" spans="1:30" s="42" customFormat="1" ht="12.75" customHeight="1" thickBot="1" x14ac:dyDescent="0.3">
      <c r="A2" s="64" t="s">
        <v>132</v>
      </c>
      <c r="B2" s="64"/>
      <c r="C2" s="43" t="s">
        <v>133</v>
      </c>
      <c r="D2" s="43" t="s">
        <v>134</v>
      </c>
      <c r="E2" s="43" t="s">
        <v>135</v>
      </c>
      <c r="F2" s="43" t="s">
        <v>136</v>
      </c>
      <c r="G2" s="43" t="s">
        <v>137</v>
      </c>
      <c r="H2" s="43" t="s">
        <v>138</v>
      </c>
      <c r="I2" s="43" t="s">
        <v>139</v>
      </c>
      <c r="J2" s="43" t="s">
        <v>140</v>
      </c>
      <c r="K2" s="43" t="s">
        <v>141</v>
      </c>
      <c r="L2" s="43" t="s">
        <v>142</v>
      </c>
      <c r="M2" s="43" t="s">
        <v>143</v>
      </c>
      <c r="N2" s="43" t="s">
        <v>144</v>
      </c>
      <c r="O2" s="43" t="s">
        <v>145</v>
      </c>
      <c r="P2" s="43" t="s">
        <v>146</v>
      </c>
      <c r="Q2" s="43" t="s">
        <v>147</v>
      </c>
      <c r="R2" s="43" t="s">
        <v>148</v>
      </c>
      <c r="S2" s="43" t="s">
        <v>149</v>
      </c>
      <c r="T2" s="43" t="s">
        <v>150</v>
      </c>
      <c r="U2" s="43" t="s">
        <v>151</v>
      </c>
      <c r="V2" s="43" t="s">
        <v>152</v>
      </c>
      <c r="W2" s="43" t="s">
        <v>153</v>
      </c>
      <c r="X2" s="43" t="s">
        <v>154</v>
      </c>
      <c r="Y2" s="43" t="s">
        <v>155</v>
      </c>
      <c r="Z2" s="63"/>
      <c r="AA2" s="63"/>
      <c r="AB2" s="41"/>
      <c r="AC2" s="41"/>
      <c r="AD2" s="41"/>
    </row>
    <row r="3" spans="1:30" s="42" customFormat="1" x14ac:dyDescent="0.25">
      <c r="A3" s="61" t="s">
        <v>156</v>
      </c>
      <c r="B3" s="61"/>
      <c r="C3" s="44" t="s">
        <v>157</v>
      </c>
      <c r="D3" s="44"/>
      <c r="E3" s="44" t="s">
        <v>158</v>
      </c>
      <c r="F3" s="44" t="s">
        <v>159</v>
      </c>
      <c r="G3" s="44" t="s">
        <v>160</v>
      </c>
      <c r="H3" s="44" t="s">
        <v>161</v>
      </c>
      <c r="I3" s="44" t="s">
        <v>161</v>
      </c>
      <c r="J3" s="45">
        <v>0.375</v>
      </c>
      <c r="K3" s="44" t="s">
        <v>160</v>
      </c>
      <c r="L3" s="44" t="s">
        <v>162</v>
      </c>
      <c r="M3" s="44" t="s">
        <v>163</v>
      </c>
      <c r="N3" s="44" t="s">
        <v>158</v>
      </c>
      <c r="O3" s="44" t="s">
        <v>164</v>
      </c>
      <c r="P3" s="44" t="s">
        <v>162</v>
      </c>
      <c r="Q3" s="44"/>
      <c r="R3" s="44" t="s">
        <v>165</v>
      </c>
      <c r="S3" s="44" t="s">
        <v>166</v>
      </c>
      <c r="T3" s="44" t="s">
        <v>165</v>
      </c>
      <c r="U3" s="44" t="s">
        <v>166</v>
      </c>
      <c r="V3" s="44" t="s">
        <v>158</v>
      </c>
      <c r="W3" s="44" t="s">
        <v>160</v>
      </c>
      <c r="X3" s="44" t="s">
        <v>162</v>
      </c>
      <c r="Y3" s="44" t="s">
        <v>164</v>
      </c>
      <c r="Z3" s="62"/>
      <c r="AA3" s="62"/>
      <c r="AB3" s="41"/>
      <c r="AC3" s="41"/>
      <c r="AD3" s="41"/>
    </row>
    <row r="4" spans="1:30" s="42" customFormat="1" x14ac:dyDescent="0.25">
      <c r="A4" s="61" t="s">
        <v>167</v>
      </c>
      <c r="B4" s="61"/>
      <c r="C4" s="44" t="s">
        <v>168</v>
      </c>
      <c r="D4" s="44"/>
      <c r="E4" s="44" t="s">
        <v>169</v>
      </c>
      <c r="F4" s="44" t="s">
        <v>170</v>
      </c>
      <c r="G4" s="44" t="s">
        <v>171</v>
      </c>
      <c r="H4" s="44" t="s">
        <v>172</v>
      </c>
      <c r="I4" s="44" t="s">
        <v>173</v>
      </c>
      <c r="J4" s="45">
        <v>0.77569444444444446</v>
      </c>
      <c r="K4" s="45">
        <v>0.875</v>
      </c>
      <c r="L4" s="44" t="s">
        <v>172</v>
      </c>
      <c r="M4" s="44" t="s">
        <v>170</v>
      </c>
      <c r="N4" s="44" t="s">
        <v>171</v>
      </c>
      <c r="O4" s="44" t="s">
        <v>172</v>
      </c>
      <c r="P4" s="44" t="s">
        <v>174</v>
      </c>
      <c r="Q4" s="44"/>
      <c r="R4" s="44" t="s">
        <v>175</v>
      </c>
      <c r="S4" s="44" t="s">
        <v>172</v>
      </c>
      <c r="T4" s="44" t="s">
        <v>176</v>
      </c>
      <c r="U4" s="44" t="s">
        <v>177</v>
      </c>
      <c r="V4" s="44" t="s">
        <v>178</v>
      </c>
      <c r="W4" s="44" t="s">
        <v>179</v>
      </c>
      <c r="X4" s="44" t="s">
        <v>180</v>
      </c>
      <c r="Y4" s="44" t="s">
        <v>171</v>
      </c>
      <c r="Z4" s="62"/>
      <c r="AA4" s="62"/>
      <c r="AB4" s="41"/>
      <c r="AC4" s="41"/>
      <c r="AD4" s="41"/>
    </row>
    <row r="5" spans="1:30" s="42" customFormat="1" ht="12.75" customHeight="1" thickBot="1" x14ac:dyDescent="0.3">
      <c r="A5" s="65" t="s">
        <v>13</v>
      </c>
      <c r="B5" s="65"/>
      <c r="C5" s="46">
        <v>0.29583333333333328</v>
      </c>
      <c r="D5" s="46">
        <v>0</v>
      </c>
      <c r="E5" s="46">
        <v>0.41874999999999996</v>
      </c>
      <c r="F5" s="46">
        <v>0.50694444444444442</v>
      </c>
      <c r="G5" s="46">
        <v>0.50069444444444444</v>
      </c>
      <c r="H5" s="46">
        <v>0.50486111111111109</v>
      </c>
      <c r="I5" s="46">
        <v>0.50416666666666665</v>
      </c>
      <c r="J5" s="46">
        <v>0.40069444444444446</v>
      </c>
      <c r="K5" s="46">
        <v>0.49861111111111112</v>
      </c>
      <c r="L5" s="46">
        <v>0.50138888888888888</v>
      </c>
      <c r="M5" s="46">
        <v>0.49861111111111112</v>
      </c>
      <c r="N5" s="46">
        <v>0.5</v>
      </c>
      <c r="O5" s="46">
        <v>0.50208333333333333</v>
      </c>
      <c r="P5" s="46">
        <v>0.40208333333333335</v>
      </c>
      <c r="Q5" s="46">
        <v>0</v>
      </c>
      <c r="R5" s="46">
        <v>0.5131944444444444</v>
      </c>
      <c r="S5" s="46">
        <v>0.51111111111111107</v>
      </c>
      <c r="T5" s="47">
        <v>0.50624999999999998</v>
      </c>
      <c r="U5" s="46">
        <v>0.51666666666666661</v>
      </c>
      <c r="V5" s="46">
        <v>0.31180555555555556</v>
      </c>
      <c r="W5" s="46">
        <v>0.49930555555555556</v>
      </c>
      <c r="X5" s="46">
        <v>0.29444444444444451</v>
      </c>
      <c r="Y5" s="46">
        <v>0.49930555555555556</v>
      </c>
      <c r="Z5" s="66"/>
      <c r="AA5" s="66"/>
      <c r="AB5" s="41"/>
      <c r="AC5" s="41"/>
      <c r="AD5" s="41"/>
    </row>
    <row r="8" spans="1:30" s="42" customFormat="1" ht="15.75" thickBot="1" x14ac:dyDescent="0.3">
      <c r="A8" s="59" t="s">
        <v>130</v>
      </c>
      <c r="B8" s="59"/>
      <c r="C8" s="59"/>
      <c r="D8" s="60" t="s">
        <v>181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40"/>
      <c r="Z8" s="60"/>
      <c r="AA8" s="60"/>
      <c r="AB8" s="41"/>
      <c r="AC8" s="41"/>
      <c r="AD8" s="41"/>
    </row>
    <row r="9" spans="1:30" s="42" customFormat="1" ht="12.75" customHeight="1" thickBot="1" x14ac:dyDescent="0.3">
      <c r="A9" s="64" t="s">
        <v>132</v>
      </c>
      <c r="B9" s="64"/>
      <c r="C9" s="43" t="s">
        <v>133</v>
      </c>
      <c r="D9" s="43" t="s">
        <v>134</v>
      </c>
      <c r="E9" s="43" t="s">
        <v>135</v>
      </c>
      <c r="F9" s="43" t="s">
        <v>136</v>
      </c>
      <c r="G9" s="43" t="s">
        <v>137</v>
      </c>
      <c r="H9" s="43" t="s">
        <v>138</v>
      </c>
      <c r="I9" s="43" t="s">
        <v>139</v>
      </c>
      <c r="J9" s="43" t="s">
        <v>140</v>
      </c>
      <c r="K9" s="43" t="s">
        <v>141</v>
      </c>
      <c r="L9" s="43" t="s">
        <v>142</v>
      </c>
      <c r="M9" s="43" t="s">
        <v>143</v>
      </c>
      <c r="N9" s="43" t="s">
        <v>144</v>
      </c>
      <c r="O9" s="43" t="s">
        <v>145</v>
      </c>
      <c r="P9" s="43" t="s">
        <v>146</v>
      </c>
      <c r="Q9" s="43" t="s">
        <v>147</v>
      </c>
      <c r="R9" s="43" t="s">
        <v>148</v>
      </c>
      <c r="S9" s="43" t="s">
        <v>149</v>
      </c>
      <c r="T9" s="43" t="s">
        <v>150</v>
      </c>
      <c r="U9" s="43" t="s">
        <v>151</v>
      </c>
      <c r="V9" s="43" t="s">
        <v>152</v>
      </c>
      <c r="W9" s="43" t="s">
        <v>153</v>
      </c>
      <c r="X9" s="43" t="s">
        <v>154</v>
      </c>
      <c r="Y9" s="43" t="s">
        <v>155</v>
      </c>
      <c r="Z9" s="63"/>
      <c r="AA9" s="63"/>
      <c r="AB9" s="41"/>
      <c r="AC9" s="41"/>
      <c r="AD9" s="41"/>
    </row>
    <row r="10" spans="1:30" s="42" customFormat="1" x14ac:dyDescent="0.25">
      <c r="A10" s="61" t="s">
        <v>156</v>
      </c>
      <c r="B10" s="61"/>
      <c r="C10" s="45">
        <v>0.37430555555555556</v>
      </c>
      <c r="D10" s="44" t="s">
        <v>182</v>
      </c>
      <c r="E10" s="44" t="s">
        <v>157</v>
      </c>
      <c r="F10" s="44" t="s">
        <v>159</v>
      </c>
      <c r="G10" s="44" t="s">
        <v>160</v>
      </c>
      <c r="H10" s="44" t="s">
        <v>161</v>
      </c>
      <c r="I10" s="44" t="s">
        <v>161</v>
      </c>
      <c r="J10" s="45">
        <v>0.375</v>
      </c>
      <c r="K10" s="44" t="s">
        <v>160</v>
      </c>
      <c r="L10" s="44" t="s">
        <v>164</v>
      </c>
      <c r="M10" s="44" t="s">
        <v>163</v>
      </c>
      <c r="N10" s="44" t="s">
        <v>158</v>
      </c>
      <c r="O10" s="44" t="s">
        <v>164</v>
      </c>
      <c r="P10" s="44" t="s">
        <v>164</v>
      </c>
      <c r="Q10" s="44"/>
      <c r="R10" s="44" t="s">
        <v>183</v>
      </c>
      <c r="S10" s="44" t="s">
        <v>183</v>
      </c>
      <c r="T10" s="44" t="s">
        <v>165</v>
      </c>
      <c r="U10" s="44" t="s">
        <v>184</v>
      </c>
      <c r="V10" s="44" t="s">
        <v>158</v>
      </c>
      <c r="W10" s="44" t="s">
        <v>160</v>
      </c>
      <c r="X10" s="44"/>
      <c r="Y10" s="44" t="s">
        <v>164</v>
      </c>
      <c r="Z10" s="62"/>
      <c r="AA10" s="62"/>
      <c r="AB10" s="41"/>
      <c r="AC10" s="41"/>
      <c r="AD10" s="41"/>
    </row>
    <row r="11" spans="1:30" s="42" customFormat="1" x14ac:dyDescent="0.25">
      <c r="A11" s="61" t="s">
        <v>167</v>
      </c>
      <c r="B11" s="61"/>
      <c r="C11" s="45">
        <v>0.67083333333333328</v>
      </c>
      <c r="D11" s="44" t="s">
        <v>185</v>
      </c>
      <c r="E11" s="44" t="s">
        <v>186</v>
      </c>
      <c r="F11" s="44" t="s">
        <v>170</v>
      </c>
      <c r="G11" s="44" t="s">
        <v>187</v>
      </c>
      <c r="H11" s="44" t="s">
        <v>172</v>
      </c>
      <c r="I11" s="44" t="s">
        <v>173</v>
      </c>
      <c r="J11" s="45">
        <v>0.77569444444444446</v>
      </c>
      <c r="K11" s="45">
        <v>0.875</v>
      </c>
      <c r="L11" s="44" t="s">
        <v>188</v>
      </c>
      <c r="M11" s="44" t="s">
        <v>170</v>
      </c>
      <c r="N11" s="44" t="s">
        <v>171</v>
      </c>
      <c r="O11" s="44" t="s">
        <v>172</v>
      </c>
      <c r="P11" s="44" t="s">
        <v>174</v>
      </c>
      <c r="Q11" s="44"/>
      <c r="R11" s="45">
        <v>0.875</v>
      </c>
      <c r="S11" s="44" t="s">
        <v>189</v>
      </c>
      <c r="T11" s="44" t="s">
        <v>176</v>
      </c>
      <c r="U11" s="44" t="s">
        <v>190</v>
      </c>
      <c r="V11" s="44" t="s">
        <v>191</v>
      </c>
      <c r="W11" s="44" t="s">
        <v>192</v>
      </c>
      <c r="X11" s="44"/>
      <c r="Y11" s="44" t="s">
        <v>193</v>
      </c>
      <c r="Z11" s="62"/>
      <c r="AA11" s="62"/>
      <c r="AB11" s="41"/>
      <c r="AC11" s="41"/>
      <c r="AD11" s="41"/>
    </row>
    <row r="12" spans="1:30" s="42" customFormat="1" ht="12.75" customHeight="1" thickBot="1" x14ac:dyDescent="0.3">
      <c r="A12" s="65" t="s">
        <v>13</v>
      </c>
      <c r="B12" s="65"/>
      <c r="C12" s="46">
        <v>0.29652777777777772</v>
      </c>
      <c r="D12" s="46">
        <v>0.42083333333333328</v>
      </c>
      <c r="E12" s="46">
        <v>0.42222222222222217</v>
      </c>
      <c r="F12" s="46">
        <v>0.50694444444444442</v>
      </c>
      <c r="G12" s="46">
        <v>0.50138888888888888</v>
      </c>
      <c r="H12" s="46">
        <v>0.50486111111111109</v>
      </c>
      <c r="I12" s="46">
        <v>0.50416666666666665</v>
      </c>
      <c r="J12" s="46">
        <v>0.40069444444444446</v>
      </c>
      <c r="K12" s="46">
        <v>0.49861111111111112</v>
      </c>
      <c r="L12" s="46">
        <v>0.50347222222222221</v>
      </c>
      <c r="M12" s="46">
        <v>0.49861111111111112</v>
      </c>
      <c r="N12" s="46">
        <v>0.5</v>
      </c>
      <c r="O12" s="46">
        <v>0.50208333333333333</v>
      </c>
      <c r="P12" s="46">
        <v>0.40277777777777779</v>
      </c>
      <c r="Q12" s="46">
        <v>0</v>
      </c>
      <c r="R12" s="46">
        <v>0.50555555555555554</v>
      </c>
      <c r="S12" s="46">
        <v>0.50902777777777775</v>
      </c>
      <c r="T12" s="47">
        <v>0.50624999999999998</v>
      </c>
      <c r="U12" s="46">
        <v>0.51805555555555549</v>
      </c>
      <c r="V12" s="46">
        <v>0.46458333333333335</v>
      </c>
      <c r="W12" s="46">
        <v>0.40138888888888891</v>
      </c>
      <c r="X12" s="46">
        <v>0</v>
      </c>
      <c r="Y12" s="46">
        <v>0.40625</v>
      </c>
      <c r="Z12" s="66"/>
      <c r="AA12" s="66"/>
      <c r="AB12" s="41"/>
      <c r="AC12" s="41"/>
      <c r="AD12" s="41"/>
    </row>
    <row r="23" spans="4:9" x14ac:dyDescent="0.25">
      <c r="D23" t="s">
        <v>194</v>
      </c>
    </row>
    <row r="25" spans="4:9" x14ac:dyDescent="0.25">
      <c r="D25" t="s">
        <v>3</v>
      </c>
      <c r="E25">
        <v>16000</v>
      </c>
      <c r="F25">
        <f>+E25*12</f>
        <v>192000</v>
      </c>
      <c r="G25">
        <v>306</v>
      </c>
      <c r="H25" s="12">
        <f>+F25/G25</f>
        <v>627.45098039215691</v>
      </c>
      <c r="I25" s="12">
        <f>+H25/9.5</f>
        <v>66.047471620227043</v>
      </c>
    </row>
    <row r="26" spans="4:9" x14ac:dyDescent="0.25">
      <c r="D26" t="s">
        <v>195</v>
      </c>
      <c r="E26">
        <v>27000</v>
      </c>
      <c r="F26">
        <f t="shared" ref="F26:F31" si="0">+E26*12</f>
        <v>324000</v>
      </c>
      <c r="G26">
        <v>306</v>
      </c>
      <c r="H26" s="12">
        <f t="shared" ref="H26:H31" si="1">+F26/G26</f>
        <v>1058.8235294117646</v>
      </c>
      <c r="I26" s="12">
        <f t="shared" ref="I26:I28" si="2">+H26/9.5</f>
        <v>111.45510835913312</v>
      </c>
    </row>
    <row r="27" spans="4:9" x14ac:dyDescent="0.25">
      <c r="D27" t="s">
        <v>123</v>
      </c>
      <c r="E27">
        <v>11500</v>
      </c>
      <c r="F27">
        <f t="shared" si="0"/>
        <v>138000</v>
      </c>
      <c r="G27">
        <v>306</v>
      </c>
      <c r="H27" s="12">
        <f t="shared" si="1"/>
        <v>450.98039215686276</v>
      </c>
      <c r="I27" s="12">
        <f t="shared" si="2"/>
        <v>47.471620227038187</v>
      </c>
    </row>
    <row r="28" spans="4:9" x14ac:dyDescent="0.25">
      <c r="D28" t="s">
        <v>124</v>
      </c>
      <c r="E28">
        <v>17000</v>
      </c>
      <c r="F28">
        <f t="shared" si="0"/>
        <v>204000</v>
      </c>
      <c r="G28">
        <v>306</v>
      </c>
      <c r="H28" s="12">
        <f t="shared" si="1"/>
        <v>666.66666666666663</v>
      </c>
      <c r="I28" s="12">
        <f t="shared" si="2"/>
        <v>70.175438596491219</v>
      </c>
    </row>
    <row r="29" spans="4:9" x14ac:dyDescent="0.25">
      <c r="D29" t="s">
        <v>196</v>
      </c>
      <c r="E29">
        <f>300</f>
        <v>300</v>
      </c>
      <c r="G29" t="s">
        <v>5</v>
      </c>
      <c r="H29" s="12">
        <v>300</v>
      </c>
      <c r="I29" s="12">
        <f>+H29/8</f>
        <v>37.5</v>
      </c>
    </row>
    <row r="30" spans="4:9" x14ac:dyDescent="0.25">
      <c r="D30" t="s">
        <v>126</v>
      </c>
      <c r="E30">
        <v>19500</v>
      </c>
      <c r="F30">
        <f t="shared" si="0"/>
        <v>234000</v>
      </c>
      <c r="G30">
        <v>306</v>
      </c>
      <c r="H30" s="12">
        <f t="shared" si="1"/>
        <v>764.70588235294122</v>
      </c>
      <c r="I30" s="12">
        <f>+H30/12</f>
        <v>63.725490196078432</v>
      </c>
    </row>
    <row r="31" spans="4:9" x14ac:dyDescent="0.25">
      <c r="D31" t="s">
        <v>197</v>
      </c>
      <c r="E31">
        <v>7500</v>
      </c>
      <c r="F31">
        <f t="shared" si="0"/>
        <v>90000</v>
      </c>
      <c r="G31">
        <v>306</v>
      </c>
      <c r="H31" s="12">
        <f t="shared" si="1"/>
        <v>294.11764705882354</v>
      </c>
      <c r="I31" s="12">
        <f>+H31/12</f>
        <v>24.509803921568629</v>
      </c>
    </row>
  </sheetData>
  <mergeCells count="22">
    <mergeCell ref="A12:B12"/>
    <mergeCell ref="Z12:AA12"/>
    <mergeCell ref="A11:B11"/>
    <mergeCell ref="Z11:AA11"/>
    <mergeCell ref="Z9:AA9"/>
    <mergeCell ref="A10:B10"/>
    <mergeCell ref="Z10:AA10"/>
    <mergeCell ref="A9:B9"/>
    <mergeCell ref="A8:C8"/>
    <mergeCell ref="D8:X8"/>
    <mergeCell ref="Z8:AA8"/>
    <mergeCell ref="A5:B5"/>
    <mergeCell ref="Z5:AA5"/>
    <mergeCell ref="A1:C1"/>
    <mergeCell ref="D1:X1"/>
    <mergeCell ref="Z1:AA1"/>
    <mergeCell ref="A4:B4"/>
    <mergeCell ref="Z4:AA4"/>
    <mergeCell ref="Z2:AA2"/>
    <mergeCell ref="A3:B3"/>
    <mergeCell ref="Z3:AA3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Working</vt:lpstr>
      <vt:lpstr>Undivideable Expenses</vt:lpstr>
      <vt:lpstr>Sheet3</vt:lpstr>
      <vt:lpstr>Working!Print_Area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ASHU BHATT</dc:creator>
  <cp:keywords/>
  <dc:description/>
  <cp:lastModifiedBy>ASHU BHATT</cp:lastModifiedBy>
  <cp:revision/>
  <dcterms:created xsi:type="dcterms:W3CDTF">2025-04-21T11:04:36Z</dcterms:created>
  <dcterms:modified xsi:type="dcterms:W3CDTF">2025-11-29T12:23:30Z</dcterms:modified>
  <cp:category/>
  <cp:contentStatus/>
</cp:coreProperties>
</file>